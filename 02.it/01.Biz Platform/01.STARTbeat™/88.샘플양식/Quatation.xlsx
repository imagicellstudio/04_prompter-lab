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026"/>
  <workbookPr filterPrivacy="1" codeName="ThisWorkbook"/>
  <xr:revisionPtr revIDLastSave="0" documentId="8_{C8CF68B1-ECDF-4E5A-B6C9-2782C0926768}" xr6:coauthVersionLast="47" xr6:coauthVersionMax="47" xr10:uidLastSave="{00000000-0000-0000-0000-000000000000}"/>
  <bookViews>
    <workbookView xWindow="-4000" yWindow="-20890" windowWidth="34120" windowHeight="19020" xr2:uid="{00000000-000D-0000-FFFF-FFFF00000000}"/>
  </bookViews>
  <sheets>
    <sheet name="Quotation" sheetId="1" r:id="rId1"/>
  </sheets>
  <definedNames>
    <definedName name="_xlnm.Print_Titles" localSheetId="0">Quotation!$15:$15</definedName>
    <definedName name="Tax_Rate">Quotation!$F$23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6" i="1" l="1"/>
  <c r="F17" i="1"/>
  <c r="F18" i="1"/>
  <c r="F19" i="1"/>
  <c r="F20" i="1"/>
  <c r="F24" i="1"/>
  <c r="F2" i="1"/>
  <c r="F6" i="1" s="1"/>
  <c r="F22" i="1" l="1"/>
  <c r="F26" i="1" s="1"/>
</calcChain>
</file>

<file path=xl/sharedStrings.xml><?xml version="1.0" encoding="utf-8"?>
<sst xmlns="http://schemas.openxmlformats.org/spreadsheetml/2006/main" count="39" uniqueCount="39">
  <si>
    <t>Quotation #</t>
  </si>
  <si>
    <t>Customer ID</t>
  </si>
  <si>
    <t>ABC123</t>
  </si>
  <si>
    <t>Phone: Enter Phone number here   Fax: Enter Fax number here</t>
  </si>
  <si>
    <t>Quotation valid until:</t>
  </si>
  <si>
    <t>Name</t>
  </si>
  <si>
    <t>Prepared by:</t>
  </si>
  <si>
    <t>Company Name</t>
  </si>
  <si>
    <t>None</t>
  </si>
  <si>
    <t>Due on receipt</t>
  </si>
  <si>
    <t>Item 1</t>
  </si>
  <si>
    <t>TOTAL</t>
  </si>
  <si>
    <t>Description</t>
  </si>
  <si>
    <t>Unit Price</t>
  </si>
  <si>
    <t>Yes</t>
  </si>
  <si>
    <t>Salesperson</t>
  </si>
  <si>
    <t>P.O. Number</t>
  </si>
  <si>
    <t>Ship Date</t>
  </si>
  <si>
    <t>F.O.B. Point</t>
  </si>
  <si>
    <t>Terms</t>
  </si>
  <si>
    <t>Date</t>
  </si>
  <si>
    <t>Quantity</t>
  </si>
  <si>
    <t>Taxable?</t>
  </si>
  <si>
    <t>Amount</t>
  </si>
  <si>
    <t>Street Address, City, State/Province, ZIP Code</t>
  </si>
  <si>
    <t>Phone, Fax Number</t>
  </si>
  <si>
    <t>Tax Rate</t>
  </si>
  <si>
    <t>Sales Tax</t>
  </si>
  <si>
    <t>Other</t>
  </si>
  <si>
    <t>Thank you for your business!</t>
  </si>
  <si>
    <t>Street Address, City, State ZIP Code</t>
  </si>
  <si>
    <t>Company Address</t>
  </si>
  <si>
    <t>Quotation For</t>
  </si>
  <si>
    <t>Comments or Special Instructions</t>
  </si>
  <si>
    <t>Customer Name</t>
  </si>
  <si>
    <t xml:space="preserve">If you have any questions concerning this quotation, please contact: </t>
  </si>
  <si>
    <t>Enter your contact details</t>
  </si>
  <si>
    <t xml:space="preserve">   </t>
  </si>
  <si>
    <t>Subtotal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</si>
</sst>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76" formatCode="_(&quot;$&quot;* #,##0.00_);_(&quot;$&quot;* \(#,##0.00\);_(&quot;$&quot;* &quot;-&quot;??_);_(@_)"/>
    <numFmt numFmtId="177" formatCode="_(* #,##0.00_);_(* \(#,##0.00\);_(* &quot;-&quot;??_);_(@_)"/>
  </numFmts>
  <fonts count="11" x14ac:knownFonts="1">
    <font>
      <sz val="11"/>
      <color theme="1"/>
      <name val="Franklin Gothic Book"/>
      <family val="2"/>
      <scheme val="minor"/>
    </font>
    <font>
      <sz val="10"/>
      <color theme="1"/>
      <name val="Franklin Gothic Book"/>
      <family val="2"/>
      <scheme val="minor"/>
    </font>
    <font>
      <sz val="10"/>
      <color theme="1"/>
      <name val="Franklin Gothic Book"/>
      <family val="2"/>
      <scheme val="minor"/>
    </font>
    <font>
      <sz val="11"/>
      <color theme="5"/>
      <name val="Franklin Gothic Book"/>
      <family val="2"/>
      <scheme val="minor"/>
    </font>
    <font>
      <b/>
      <sz val="11"/>
      <color theme="5"/>
      <name val="Franklin Gothic Book"/>
      <family val="2"/>
      <scheme val="minor"/>
    </font>
    <font>
      <sz val="10"/>
      <color theme="5"/>
      <name val="Franklin Gothic Book"/>
      <family val="2"/>
      <scheme val="minor"/>
    </font>
    <font>
      <b/>
      <sz val="10"/>
      <color theme="0"/>
      <name val="Franklin Gothic Book"/>
      <family val="2"/>
      <scheme val="minor"/>
    </font>
    <font>
      <b/>
      <sz val="10"/>
      <color theme="1"/>
      <name val="Franklin Gothic Book"/>
      <family val="2"/>
      <scheme val="minor"/>
    </font>
    <font>
      <b/>
      <sz val="12"/>
      <color theme="5"/>
      <name val="Franklin Gothic Book"/>
      <family val="2"/>
      <scheme val="minor"/>
    </font>
    <font>
      <sz val="11"/>
      <color theme="1"/>
      <name val="Franklin Gothic Book"/>
      <family val="2"/>
      <scheme val="minor"/>
    </font>
    <font>
      <sz val="8"/>
      <name val="돋움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/>
        <bgColor indexed="64"/>
      </patternFill>
    </fill>
  </fills>
  <borders count="5">
    <border>
      <left/>
      <right/>
      <top/>
      <bottom/>
      <diagonal/>
    </border>
    <border>
      <left/>
      <right style="thin">
        <color theme="3"/>
      </right>
      <top/>
      <bottom/>
      <diagonal/>
    </border>
    <border>
      <left style="thin">
        <color theme="3"/>
      </left>
      <right style="thin">
        <color theme="3"/>
      </right>
      <top style="thin">
        <color theme="3"/>
      </top>
      <bottom style="thin">
        <color theme="5" tint="0.79998168889431442"/>
      </bottom>
      <diagonal/>
    </border>
    <border>
      <left style="thin">
        <color theme="3"/>
      </left>
      <right style="thin">
        <color theme="3"/>
      </right>
      <top style="thin">
        <color theme="5" tint="0.79998168889431442"/>
      </top>
      <bottom style="thin">
        <color theme="5" tint="0.79998168889431442"/>
      </bottom>
      <diagonal/>
    </border>
    <border>
      <left style="thin">
        <color theme="3"/>
      </left>
      <right style="thin">
        <color theme="3"/>
      </right>
      <top style="thin">
        <color theme="5" tint="0.79998168889431442"/>
      </top>
      <bottom style="thin">
        <color theme="3"/>
      </bottom>
      <diagonal/>
    </border>
  </borders>
  <cellStyleXfs count="2">
    <xf numFmtId="0" fontId="0" fillId="0" borderId="0"/>
    <xf numFmtId="177" fontId="9" fillId="0" borderId="0" applyFont="0" applyFill="0" applyBorder="0" applyAlignment="0" applyProtection="0"/>
  </cellStyleXfs>
  <cellXfs count="30">
    <xf numFmtId="0" fontId="0" fillId="0" borderId="0" xfId="0"/>
    <xf numFmtId="0" fontId="2" fillId="0" borderId="0" xfId="0" applyFont="1"/>
    <xf numFmtId="0" fontId="2" fillId="0" borderId="0" xfId="0" applyFont="1" applyAlignment="1">
      <alignment vertical="top"/>
    </xf>
    <xf numFmtId="0" fontId="2" fillId="0" borderId="0" xfId="0" applyFont="1" applyAlignment="1">
      <alignment horizontal="left" vertical="center" indent="1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 indent="1"/>
    </xf>
    <xf numFmtId="176" fontId="2" fillId="0" borderId="0" xfId="0" applyNumberFormat="1" applyFont="1" applyAlignment="1">
      <alignment horizontal="left" vertical="center" wrapText="1" indent="1"/>
    </xf>
    <xf numFmtId="0" fontId="2" fillId="0" borderId="0" xfId="0" applyFont="1" applyAlignment="1">
      <alignment horizontal="left" indent="1"/>
    </xf>
    <xf numFmtId="14" fontId="2" fillId="0" borderId="0" xfId="0" applyNumberFormat="1" applyFont="1" applyAlignment="1">
      <alignment horizontal="left" indent="1"/>
    </xf>
    <xf numFmtId="176" fontId="2" fillId="0" borderId="0" xfId="0" applyNumberFormat="1" applyFont="1" applyAlignment="1">
      <alignment horizontal="center" vertical="center" wrapText="1"/>
    </xf>
    <xf numFmtId="0" fontId="0" fillId="0" borderId="0" xfId="0" applyAlignment="1">
      <alignment horizontal="left" vertical="center" indent="1"/>
    </xf>
    <xf numFmtId="0" fontId="0" fillId="0" borderId="0" xfId="0" applyAlignment="1">
      <alignment horizontal="left" vertical="center" wrapText="1" indent="1"/>
    </xf>
    <xf numFmtId="0" fontId="0" fillId="0" borderId="1" xfId="0" applyBorder="1" applyAlignment="1">
      <alignment horizontal="left" vertical="center" wrapText="1" indent="1"/>
    </xf>
    <xf numFmtId="176" fontId="2" fillId="0" borderId="2" xfId="0" applyNumberFormat="1" applyFont="1" applyBorder="1" applyAlignment="1">
      <alignment horizontal="center" vertical="center"/>
    </xf>
    <xf numFmtId="10" fontId="2" fillId="0" borderId="3" xfId="0" applyNumberFormat="1" applyFont="1" applyBorder="1" applyAlignment="1">
      <alignment horizontal="right" vertical="center"/>
    </xf>
    <xf numFmtId="176" fontId="2" fillId="0" borderId="3" xfId="0" applyNumberFormat="1" applyFont="1" applyBorder="1" applyAlignment="1">
      <alignment horizontal="center" vertical="center"/>
    </xf>
    <xf numFmtId="0" fontId="3" fillId="0" borderId="0" xfId="0" applyFont="1" applyAlignment="1">
      <alignment horizontal="right" vertical="center" indent="1"/>
    </xf>
    <xf numFmtId="0" fontId="4" fillId="0" borderId="0" xfId="0" applyFont="1" applyAlignment="1">
      <alignment horizontal="right" vertical="center" indent="1"/>
    </xf>
    <xf numFmtId="0" fontId="5" fillId="0" borderId="0" xfId="0" applyFont="1"/>
    <xf numFmtId="0" fontId="5" fillId="0" borderId="0" xfId="0" applyFont="1" applyAlignment="1">
      <alignment vertical="top"/>
    </xf>
    <xf numFmtId="0" fontId="4" fillId="0" borderId="0" xfId="0" applyFont="1"/>
    <xf numFmtId="0" fontId="8" fillId="0" borderId="0" xfId="0" applyFont="1"/>
    <xf numFmtId="0" fontId="4" fillId="0" borderId="0" xfId="0" applyFont="1" applyAlignment="1">
      <alignment horizontal="right"/>
    </xf>
    <xf numFmtId="0" fontId="7" fillId="0" borderId="0" xfId="0" applyFont="1"/>
    <xf numFmtId="176" fontId="6" fillId="2" borderId="4" xfId="0" applyNumberFormat="1" applyFont="1" applyFill="1" applyBorder="1" applyAlignment="1">
      <alignment horizontal="center" vertical="center"/>
    </xf>
    <xf numFmtId="0" fontId="1" fillId="0" borderId="0" xfId="0" applyFont="1" applyAlignment="1">
      <alignment horizontal="left" vertical="center" wrapText="1" indent="1"/>
    </xf>
    <xf numFmtId="0" fontId="1" fillId="0" borderId="0" xfId="0" applyFont="1" applyAlignment="1">
      <alignment horizontal="left" vertical="center" indent="1"/>
    </xf>
    <xf numFmtId="37" fontId="2" fillId="0" borderId="0" xfId="1" applyNumberFormat="1" applyFont="1" applyAlignment="1">
      <alignment horizontal="center" vertical="center"/>
    </xf>
    <xf numFmtId="0" fontId="2" fillId="0" borderId="0" xfId="0" applyFont="1" applyAlignment="1">
      <alignment horizontal="left" vertical="top" wrapText="1" indent="1"/>
    </xf>
  </cellXfs>
  <cellStyles count="2">
    <cellStyle name="쉼표" xfId="1" builtinId="3"/>
    <cellStyle name="표준" xfId="0" builtinId="0"/>
  </cellStyles>
  <dxfs count="1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Franklin Gothic Book"/>
        <scheme val="minor"/>
      </font>
      <numFmt numFmtId="176" formatCode="_(&quot;$&quot;* #,##0.00_);_(&quot;$&quot;* \(#,##0.00\);_(&quot;$&quot;* &quot;-&quot;??_);_(@_)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Franklin Gothic Book"/>
        <scheme val="minor"/>
      </font>
      <alignment horizontal="lef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Franklin Gothic Book"/>
        <scheme val="minor"/>
      </font>
      <numFmt numFmtId="176" formatCode="_(&quot;$&quot;* #,##0.00_);_(&quot;$&quot;* \(#,##0.00\);_(&quot;$&quot;* &quot;-&quot;??_);_(@_)"/>
      <alignment horizontal="lef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Franklin Gothic Book"/>
        <scheme val="minor"/>
      </font>
      <alignment horizontal="lef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Franklin Gothic Book"/>
        <scheme val="minor"/>
      </font>
      <numFmt numFmtId="178" formatCode="_(* #,##0_);_(* \(#,##0\);_(* &quot;-&quot;??_);_(@_)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Franklin Gothic Book"/>
        <scheme val="minor"/>
      </font>
      <alignment horizontal="lef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Franklin Gothic Book"/>
        <scheme val="minor"/>
      </font>
      <alignment horizontal="lef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Franklin Gothic Book"/>
        <scheme val="minor"/>
      </font>
      <alignment horizontal="lef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Franklin Gothic Book"/>
        <scheme val="minor"/>
      </font>
      <alignment horizontal="lef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Franklin Gothic Book"/>
        <scheme val="minor"/>
      </font>
      <numFmt numFmtId="179" formatCode="m/d/yyyy"/>
      <alignment horizontal="left" vertical="bottom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Franklin Gothic Book"/>
        <scheme val="minor"/>
      </font>
      <alignment horizontal="lef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Franklin Gothic Book"/>
        <scheme val="minor"/>
      </font>
      <alignment horizontal="lef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Franklin Gothic Book"/>
        <scheme val="minor"/>
      </font>
      <alignment horizontal="lef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Franklin Gothic Book"/>
        <scheme val="minor"/>
      </font>
      <alignment horizontal="left" vertical="center" textRotation="0" wrapText="0" indent="1" justifyLastLine="0" shrinkToFit="0" readingOrder="0"/>
    </dxf>
    <dxf>
      <fill>
        <patternFill>
          <bgColor theme="0" tint="-4.9989318521683403E-2"/>
        </patternFill>
      </fill>
    </dxf>
    <dxf>
      <font>
        <b/>
        <i val="0"/>
        <strike val="0"/>
        <color theme="0"/>
      </font>
      <fill>
        <gradientFill degree="90">
          <stop position="0">
            <color theme="3"/>
          </stop>
          <stop position="1">
            <color theme="3"/>
          </stop>
        </gradientFill>
      </fill>
      <border>
        <left style="thin">
          <color theme="3"/>
        </left>
        <right style="thin">
          <color theme="3"/>
        </right>
        <top style="thin">
          <color theme="3"/>
        </top>
        <bottom style="thin">
          <color theme="3"/>
        </bottom>
        <vertical style="thin">
          <color theme="5" tint="0.59996337778862885"/>
        </vertical>
        <horizontal style="thin">
          <color theme="3"/>
        </horizontal>
      </border>
    </dxf>
    <dxf>
      <border>
        <left style="thin">
          <color theme="3"/>
        </left>
        <right style="thin">
          <color theme="3"/>
        </right>
        <top style="thick">
          <color theme="3"/>
        </top>
        <bottom style="thick">
          <color theme="3"/>
        </bottom>
        <vertical style="thin">
          <color theme="6" tint="0.59996337778862885"/>
        </vertical>
        <horizontal style="thin">
          <color theme="6" tint="0.59996337778862885"/>
        </horizontal>
      </border>
    </dxf>
  </dxfs>
  <tableStyles count="1" defaultTableStyle="TableStyleMedium2" defaultPivotStyle="PivotStyleLight16">
    <tableStyle name="Business Table" pivot="0" count="3" xr9:uid="{00000000-0011-0000-FFFF-FFFF00000000}">
      <tableStyleElement type="wholeTable" dxfId="16"/>
      <tableStyleElement type="headerRow" dxfId="15"/>
      <tableStyleElement type="secondRowStripe" dxfId="14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152400</xdr:rowOff>
    </xdr:from>
    <xdr:to>
      <xdr:col>5</xdr:col>
      <xdr:colOff>1177691</xdr:colOff>
      <xdr:row>1</xdr:row>
      <xdr:rowOff>2688</xdr:rowOff>
    </xdr:to>
    <xdr:pic>
      <xdr:nvPicPr>
        <xdr:cNvPr id="3" name="Picture 2" descr="Abstract banner" title="Banner 1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400" y="152400"/>
          <a:ext cx="7294646" cy="1298088"/>
        </a:xfrm>
        <a:prstGeom prst="rect">
          <a:avLst/>
        </a:prstGeom>
      </xdr:spPr>
    </xdr:pic>
    <xdr:clientData/>
  </xdr:twoCellAnchor>
  <xdr:twoCellAnchor>
    <xdr:from>
      <xdr:col>4</xdr:col>
      <xdr:colOff>366507</xdr:colOff>
      <xdr:row>0</xdr:row>
      <xdr:rowOff>266700</xdr:rowOff>
    </xdr:from>
    <xdr:to>
      <xdr:col>5</xdr:col>
      <xdr:colOff>1095375</xdr:colOff>
      <xdr:row>0</xdr:row>
      <xdr:rowOff>1143000</xdr:rowOff>
    </xdr:to>
    <xdr:sp macro="" textlink="">
      <xdr:nvSpPr>
        <xdr:cNvPr id="2" name="TextBox 1" descr="Quotation" title="Titl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5395707" y="266700"/>
          <a:ext cx="1938543" cy="8763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/>
          <a:r>
            <a:rPr lang="en-US" sz="2800">
              <a:solidFill>
                <a:schemeClr val="accent4"/>
              </a:solidFill>
              <a:latin typeface="+mj-lt"/>
            </a:rPr>
            <a:t>Quotation</a:t>
          </a:r>
        </a:p>
      </xdr:txBody>
    </xdr:sp>
    <xdr:clientData/>
  </xdr:twoCellAnchor>
  <xdr:twoCellAnchor>
    <xdr:from>
      <xdr:col>1</xdr:col>
      <xdr:colOff>0</xdr:colOff>
      <xdr:row>0</xdr:row>
      <xdr:rowOff>695827</xdr:rowOff>
    </xdr:from>
    <xdr:to>
      <xdr:col>2</xdr:col>
      <xdr:colOff>1150520</xdr:colOff>
      <xdr:row>1</xdr:row>
      <xdr:rowOff>0</xdr:rowOff>
    </xdr:to>
    <xdr:sp macro="" textlink="">
      <xdr:nvSpPr>
        <xdr:cNvPr id="8" name="TextBox 2" descr="Company Name and Slogan" title="Title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152400" y="695827"/>
          <a:ext cx="2360195" cy="75197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b"/>
        <a:lstStyle/>
        <a:p>
          <a:pPr algn="l"/>
          <a:r>
            <a:rPr lang="en-US" sz="1800" baseline="0">
              <a:solidFill>
                <a:schemeClr val="bg1"/>
              </a:solidFill>
              <a:latin typeface="+mj-lt"/>
            </a:rPr>
            <a:t>Company Name</a:t>
          </a:r>
        </a:p>
        <a:p>
          <a:pPr algn="l"/>
          <a:r>
            <a:rPr lang="en-US" sz="1000" baseline="0">
              <a:solidFill>
                <a:schemeClr val="bg1"/>
              </a:solidFill>
              <a:latin typeface="+mn-lt"/>
            </a:rPr>
            <a:t>Company Slogan</a:t>
          </a:r>
          <a:endParaRPr lang="en-US" sz="1000">
            <a:solidFill>
              <a:schemeClr val="bg1"/>
            </a:solidFill>
            <a:latin typeface="+mn-lt"/>
          </a:endParaRPr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alesperson_Table" displayName="Salesperson_Table" ref="B12:F13" totalsRowShown="0" headerRowDxfId="13" dataDxfId="12">
  <tableColumns count="5">
    <tableColumn id="1" xr3:uid="{00000000-0010-0000-0000-000001000000}" name="Salesperson" dataDxfId="11"/>
    <tableColumn id="2" xr3:uid="{00000000-0010-0000-0000-000002000000}" name="P.O. Number" dataDxfId="10"/>
    <tableColumn id="3" xr3:uid="{00000000-0010-0000-0000-000003000000}" name="Ship Date" dataDxfId="9"/>
    <tableColumn id="4" xr3:uid="{00000000-0010-0000-0000-000004000000}" name="F.O.B. Point" dataDxfId="8"/>
    <tableColumn id="5" xr3:uid="{00000000-0010-0000-0000-000005000000}" name="Terms" dataDxfId="7"/>
  </tableColumns>
  <tableStyleInfo name="Business Table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1000000}" name="SaleItems_Table" displayName="SaleItems_Table" ref="B15:F20" totalsRowShown="0" headerRowDxfId="6" dataDxfId="5">
  <tableColumns count="5">
    <tableColumn id="1" xr3:uid="{00000000-0010-0000-0100-000001000000}" name="Quantity" dataDxfId="4"/>
    <tableColumn id="2" xr3:uid="{00000000-0010-0000-0100-000002000000}" name="Description" dataDxfId="3"/>
    <tableColumn id="3" xr3:uid="{00000000-0010-0000-0100-000003000000}" name="Unit Price" dataDxfId="2"/>
    <tableColumn id="4" xr3:uid="{00000000-0010-0000-0100-000004000000}" name="Taxable?" dataDxfId="1"/>
    <tableColumn id="5" xr3:uid="{00000000-0010-0000-0100-000005000000}" name="Amount" dataDxfId="0">
      <calculatedColumnFormula>IFERROR(IF(OR(SaleItems_Table[[#This Row],[Quantity]]="",SaleItems_Table[[#This Row],[Unit Price]]=""),"",SaleItems_Table[[#This Row],[Quantity]]*SaleItems_Table[[#This Row],[Unit Price]]),"")</calculatedColumnFormula>
    </tableColumn>
  </tableColumns>
  <tableStyleInfo name="Business Table" showFirstColumn="0" showLastColumn="0" showRowStripes="1" showColumnStripes="0"/>
</table>
</file>

<file path=xl/theme/theme1.xml><?xml version="1.0" encoding="utf-8"?>
<a:theme xmlns:a="http://schemas.openxmlformats.org/drawingml/2006/main" name="Business Templates Theme">
  <a:themeElements>
    <a:clrScheme name="BUS_Activity Based Cost Tracker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F7F5E6"/>
      </a:accent1>
      <a:accent2>
        <a:srgbClr val="333A56"/>
      </a:accent2>
      <a:accent3>
        <a:srgbClr val="52658F"/>
      </a:accent3>
      <a:accent4>
        <a:srgbClr val="E8E8E8"/>
      </a:accent4>
      <a:accent5>
        <a:srgbClr val="000000"/>
      </a:accent5>
      <a:accent6>
        <a:srgbClr val="8A8A8A"/>
      </a:accent6>
      <a:hlink>
        <a:srgbClr val="0096D2"/>
      </a:hlink>
      <a:folHlink>
        <a:srgbClr val="00578B"/>
      </a:folHlink>
    </a:clrScheme>
    <a:fontScheme name="Business Templates Font Set">
      <a:majorFont>
        <a:latin typeface="Franklin Gothic Book"/>
        <a:ea typeface=""/>
        <a:cs typeface=""/>
      </a:majorFont>
      <a:minorFont>
        <a:latin typeface="Franklin Gothic Book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satMod val="105000"/>
                <a:lumMod val="110000"/>
              </a:schemeClr>
            </a:gs>
            <a:gs pos="50000">
              <a:schemeClr val="phClr">
                <a:tint val="73000"/>
                <a:satMod val="103000"/>
                <a:lumMod val="105000"/>
              </a:schemeClr>
            </a:gs>
            <a:gs pos="100000">
              <a:schemeClr val="phClr">
                <a:tint val="81000"/>
                <a:satMod val="109000"/>
                <a:lumMod val="105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satMod val="103000"/>
                <a:lumMod val="102000"/>
              </a:schemeClr>
            </a:gs>
            <a:gs pos="50000">
              <a:schemeClr val="phClr">
                <a:shade val="100000"/>
                <a:satMod val="110000"/>
                <a:lumMod val="100000"/>
              </a:schemeClr>
            </a:gs>
            <a:gs pos="100000">
              <a:schemeClr val="phClr">
                <a:shade val="78000"/>
                <a:satMod val="120000"/>
                <a:lumMod val="99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satMod val="150000"/>
                <a:lumMod val="102000"/>
              </a:schemeClr>
            </a:gs>
            <a:gs pos="50000">
              <a:schemeClr val="phClr">
                <a:tint val="98000"/>
                <a:shade val="90000"/>
                <a:satMod val="13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Dark" id="{D39323B7-B2D6-4C10-818B-A5CD4ACE85BD}" vid="{15FD9199-0511-4D87-8BFB-2FF3F0C5B55D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B1:G30"/>
  <sheetViews>
    <sheetView showGridLines="0" tabSelected="1" zoomScaleNormal="100" workbookViewId="0"/>
  </sheetViews>
  <sheetFormatPr defaultColWidth="8.81640625" defaultRowHeight="26.1" customHeight="1" x14ac:dyDescent="0.3"/>
  <cols>
    <col min="1" max="1" width="1.81640625" style="1" customWidth="1"/>
    <col min="2" max="2" width="14.08984375" style="1" customWidth="1"/>
    <col min="3" max="3" width="28.6328125" style="1" customWidth="1"/>
    <col min="4" max="6" width="14.08984375" style="1" customWidth="1"/>
    <col min="7" max="7" width="1.81640625" style="1" customWidth="1"/>
    <col min="8" max="16384" width="8.81640625" style="1"/>
  </cols>
  <sheetData>
    <row r="1" spans="2:7" ht="114" customHeight="1" x14ac:dyDescent="0.3">
      <c r="G1" s="1" t="s">
        <v>37</v>
      </c>
    </row>
    <row r="2" spans="2:7" ht="30" customHeight="1" x14ac:dyDescent="0.35">
      <c r="B2" s="21" t="s">
        <v>31</v>
      </c>
      <c r="E2" s="23" t="s">
        <v>20</v>
      </c>
      <c r="F2" s="9">
        <f ca="1">TODAY()</f>
        <v>44964</v>
      </c>
    </row>
    <row r="3" spans="2:7" s="4" customFormat="1" ht="15.9" customHeight="1" x14ac:dyDescent="0.35">
      <c r="B3" s="3" t="s">
        <v>30</v>
      </c>
      <c r="E3" s="23" t="s">
        <v>0</v>
      </c>
      <c r="F3" s="3">
        <v>1234</v>
      </c>
    </row>
    <row r="4" spans="2:7" s="4" customFormat="1" ht="15.9" customHeight="1" x14ac:dyDescent="0.35">
      <c r="B4" s="3" t="s">
        <v>3</v>
      </c>
      <c r="E4" s="23" t="s">
        <v>1</v>
      </c>
      <c r="F4" s="3" t="s">
        <v>2</v>
      </c>
    </row>
    <row r="5" spans="2:7" ht="30" customHeight="1" x14ac:dyDescent="0.35">
      <c r="B5" s="21" t="s">
        <v>32</v>
      </c>
      <c r="E5" s="24"/>
    </row>
    <row r="6" spans="2:7" ht="15.9" customHeight="1" x14ac:dyDescent="0.35">
      <c r="B6" s="8" t="s">
        <v>34</v>
      </c>
      <c r="E6" s="23" t="s">
        <v>4</v>
      </c>
      <c r="F6" s="9">
        <f ca="1">F2+30</f>
        <v>44994</v>
      </c>
    </row>
    <row r="7" spans="2:7" ht="15.9" customHeight="1" x14ac:dyDescent="0.35">
      <c r="B7" s="8" t="s">
        <v>7</v>
      </c>
      <c r="E7" s="23" t="s">
        <v>6</v>
      </c>
      <c r="F7" s="8" t="s">
        <v>5</v>
      </c>
    </row>
    <row r="8" spans="2:7" ht="15.9" customHeight="1" x14ac:dyDescent="0.3">
      <c r="B8" s="8" t="s">
        <v>24</v>
      </c>
      <c r="E8" s="24"/>
    </row>
    <row r="9" spans="2:7" ht="15.9" customHeight="1" x14ac:dyDescent="0.3">
      <c r="B9" s="8" t="s">
        <v>25</v>
      </c>
    </row>
    <row r="10" spans="2:7" ht="30" customHeight="1" x14ac:dyDescent="0.35">
      <c r="B10" s="22" t="s">
        <v>33</v>
      </c>
    </row>
    <row r="11" spans="2:7" s="2" customFormat="1" ht="30" customHeight="1" x14ac:dyDescent="0.35">
      <c r="B11" s="29" t="s">
        <v>8</v>
      </c>
      <c r="C11" s="29"/>
      <c r="D11" s="29"/>
      <c r="E11" s="29"/>
      <c r="F11" s="29"/>
    </row>
    <row r="12" spans="2:7" s="3" customFormat="1" ht="31.5" customHeight="1" x14ac:dyDescent="0.35">
      <c r="B12" s="11" t="s">
        <v>15</v>
      </c>
      <c r="C12" s="11" t="s">
        <v>16</v>
      </c>
      <c r="D12" s="11" t="s">
        <v>17</v>
      </c>
      <c r="E12" s="11" t="s">
        <v>18</v>
      </c>
      <c r="F12" s="11" t="s">
        <v>19</v>
      </c>
    </row>
    <row r="13" spans="2:7" s="3" customFormat="1" ht="26.1" customHeight="1" x14ac:dyDescent="0.3">
      <c r="D13" s="9"/>
      <c r="F13" s="27" t="s">
        <v>9</v>
      </c>
    </row>
    <row r="15" spans="2:7" s="6" customFormat="1" ht="31.5" customHeight="1" x14ac:dyDescent="0.35">
      <c r="B15" s="12" t="s">
        <v>21</v>
      </c>
      <c r="C15" s="13" t="s">
        <v>12</v>
      </c>
      <c r="D15" s="12" t="s">
        <v>13</v>
      </c>
      <c r="E15" s="12" t="s">
        <v>22</v>
      </c>
      <c r="F15" s="12" t="s">
        <v>23</v>
      </c>
    </row>
    <row r="16" spans="2:7" s="5" customFormat="1" ht="26.1" customHeight="1" x14ac:dyDescent="0.35">
      <c r="B16" s="28">
        <v>1234</v>
      </c>
      <c r="C16" s="6" t="s">
        <v>10</v>
      </c>
      <c r="D16" s="7">
        <v>12.34</v>
      </c>
      <c r="E16" s="6" t="s">
        <v>14</v>
      </c>
      <c r="F16" s="10">
        <f>IFERROR(IF(OR(SaleItems_Table[[#This Row],[Quantity]]="",SaleItems_Table[[#This Row],[Unit Price]]=""),"",SaleItems_Table[[#This Row],[Quantity]]*SaleItems_Table[[#This Row],[Unit Price]]),"")</f>
        <v>15227.56</v>
      </c>
    </row>
    <row r="17" spans="2:6" s="5" customFormat="1" ht="26.1" customHeight="1" x14ac:dyDescent="0.35">
      <c r="B17" s="28"/>
      <c r="C17" s="26"/>
      <c r="D17" s="7"/>
      <c r="E17" s="6"/>
      <c r="F17" s="10" t="str">
        <f>IFERROR(IF(OR(SaleItems_Table[[#This Row],[Quantity]]="",SaleItems_Table[[#This Row],[Unit Price]]=""),"",SaleItems_Table[[#This Row],[Quantity]]*SaleItems_Table[[#This Row],[Unit Price]]),"")</f>
        <v/>
      </c>
    </row>
    <row r="18" spans="2:6" s="5" customFormat="1" ht="26.1" customHeight="1" x14ac:dyDescent="0.35">
      <c r="B18" s="28"/>
      <c r="C18" s="6"/>
      <c r="D18" s="7"/>
      <c r="E18" s="6"/>
      <c r="F18" s="10" t="str">
        <f>IFERROR(IF(OR(SaleItems_Table[[#This Row],[Quantity]]="",SaleItems_Table[[#This Row],[Unit Price]]=""),"",SaleItems_Table[[#This Row],[Quantity]]*SaleItems_Table[[#This Row],[Unit Price]]),"")</f>
        <v/>
      </c>
    </row>
    <row r="19" spans="2:6" s="5" customFormat="1" ht="26.1" customHeight="1" x14ac:dyDescent="0.35">
      <c r="B19" s="28"/>
      <c r="C19" s="6"/>
      <c r="D19" s="7"/>
      <c r="E19" s="6"/>
      <c r="F19" s="10" t="str">
        <f>IFERROR(IF(OR(SaleItems_Table[[#This Row],[Quantity]]="",SaleItems_Table[[#This Row],[Unit Price]]=""),"",SaleItems_Table[[#This Row],[Quantity]]*SaleItems_Table[[#This Row],[Unit Price]]),"")</f>
        <v/>
      </c>
    </row>
    <row r="20" spans="2:6" s="5" customFormat="1" ht="26.1" customHeight="1" x14ac:dyDescent="0.35">
      <c r="B20" s="28"/>
      <c r="C20" s="6"/>
      <c r="D20" s="7"/>
      <c r="E20" s="6"/>
      <c r="F20" s="10" t="str">
        <f>IFERROR(IF(OR(SaleItems_Table[[#This Row],[Quantity]]="",SaleItems_Table[[#This Row],[Unit Price]]=""),"",SaleItems_Table[[#This Row],[Quantity]]*SaleItems_Table[[#This Row],[Unit Price]]),"")</f>
        <v/>
      </c>
    </row>
    <row r="22" spans="2:6" s="4" customFormat="1" ht="26.1" customHeight="1" x14ac:dyDescent="0.35">
      <c r="E22" s="17" t="s">
        <v>38</v>
      </c>
      <c r="F22" s="14">
        <f>SUM(SaleItems_Table[Amount])</f>
        <v>15227.56</v>
      </c>
    </row>
    <row r="23" spans="2:6" s="4" customFormat="1" ht="26.1" customHeight="1" x14ac:dyDescent="0.3">
      <c r="B23" s="19" t="s">
        <v>35</v>
      </c>
      <c r="E23" s="17" t="s">
        <v>26</v>
      </c>
      <c r="F23" s="15">
        <v>8.5999999999999993E-2</v>
      </c>
    </row>
    <row r="24" spans="2:6" s="4" customFormat="1" ht="26.1" customHeight="1" x14ac:dyDescent="0.35">
      <c r="B24" s="2" t="s">
        <v>36</v>
      </c>
      <c r="E24" s="17" t="s">
        <v>27</v>
      </c>
      <c r="F24" s="16">
        <f>IFERROR(Tax_Rate*SUMIF(SaleItems_Table[Taxable?],"Yes",SaleItems_Table[Amount]), "")</f>
        <v>1309.5701599999998</v>
      </c>
    </row>
    <row r="25" spans="2:6" s="4" customFormat="1" ht="26.1" customHeight="1" x14ac:dyDescent="0.35">
      <c r="E25" s="17" t="s">
        <v>28</v>
      </c>
      <c r="F25" s="16"/>
    </row>
    <row r="26" spans="2:6" s="4" customFormat="1" ht="31.5" customHeight="1" x14ac:dyDescent="0.35">
      <c r="B26" s="20" t="s">
        <v>29</v>
      </c>
      <c r="E26" s="18" t="s">
        <v>11</v>
      </c>
      <c r="F26" s="25">
        <f>SUM(F22:F25)</f>
        <v>16537.21616</v>
      </c>
    </row>
    <row r="27" spans="2:6" s="4" customFormat="1" ht="26.1" customHeight="1" x14ac:dyDescent="0.35"/>
    <row r="28" spans="2:6" s="4" customFormat="1" ht="26.1" customHeight="1" x14ac:dyDescent="0.35"/>
    <row r="29" spans="2:6" s="4" customFormat="1" ht="26.1" customHeight="1" x14ac:dyDescent="0.35"/>
    <row r="30" spans="2:6" s="4" customFormat="1" ht="26.1" customHeight="1" x14ac:dyDescent="0.35"/>
  </sheetData>
  <mergeCells count="1">
    <mergeCell ref="B11:F11"/>
  </mergeCells>
  <phoneticPr fontId="10" type="noConversion"/>
  <dataValidations count="33">
    <dataValidation type="list" allowBlank="1" showInputMessage="1" showErrorMessage="1" sqref="E16:E20" xr:uid="{00000000-0002-0000-0000-000001000000}">
      <formula1>"Yes, No"</formula1>
    </dataValidation>
    <dataValidation allowBlank="1" showInputMessage="1" showErrorMessage="1" promptTitle="Quotation Template" prompt="_x000a_Create a Price quote with tax calculation in this worksheet. Enter company, customer, quotation, shipping, and product details. Total due is automatically calculated." sqref="A1" xr:uid="{00000000-0002-0000-0000-000002000000}"/>
    <dataValidation allowBlank="1" showInputMessage="1" showErrorMessage="1" prompt="Enter Customer ID in this cell" sqref="F4" xr:uid="{00000000-0002-0000-0000-000003000000}"/>
    <dataValidation allowBlank="1" showInputMessage="1" showErrorMessage="1" prompt="Enter Quotation Number in this cell" sqref="F3" xr:uid="{00000000-0002-0000-0000-000004000000}"/>
    <dataValidation allowBlank="1" showInputMessage="1" showErrorMessage="1" prompt="Enter Quotation Date in this cell" sqref="F2" xr:uid="{00000000-0002-0000-0000-000005000000}"/>
    <dataValidation allowBlank="1" showInputMessage="1" showErrorMessage="1" prompt="Enter full Company Address in this cell" sqref="B3" xr:uid="{00000000-0002-0000-0000-000006000000}"/>
    <dataValidation allowBlank="1" showInputMessage="1" showErrorMessage="1" prompt="Enter Phone and contact details in this cell" sqref="B4" xr:uid="{00000000-0002-0000-0000-000007000000}"/>
    <dataValidation allowBlank="1" showInputMessage="1" showErrorMessage="1" prompt="Enter Quotation end date in this cell" sqref="F6" xr:uid="{00000000-0002-0000-0000-000008000000}"/>
    <dataValidation allowBlank="1" showInputMessage="1" showErrorMessage="1" prompt="Enter Prepared by name in this cell" sqref="F7" xr:uid="{00000000-0002-0000-0000-000009000000}"/>
    <dataValidation allowBlank="1" showInputMessage="1" showErrorMessage="1" prompt="Enter Customer Name in this cell" sqref="B6" xr:uid="{00000000-0002-0000-0000-00000A000000}"/>
    <dataValidation allowBlank="1" showInputMessage="1" showErrorMessage="1" prompt="Enter Customer's Company Name in this cell" sqref="B7" xr:uid="{00000000-0002-0000-0000-00000B000000}"/>
    <dataValidation allowBlank="1" showInputMessage="1" showErrorMessage="1" prompt="Enter Customer's Company Address in this cell" sqref="B8" xr:uid="{00000000-0002-0000-0000-00000C000000}"/>
    <dataValidation allowBlank="1" showInputMessage="1" showErrorMessage="1" prompt="Enter Customer's Contact Details in this cell" sqref="B9" xr:uid="{00000000-0002-0000-0000-00000D000000}"/>
    <dataValidation allowBlank="1" showInputMessage="1" showErrorMessage="1" prompt="Enter Comments or Special Instructions in this cell" sqref="B11:E11" xr:uid="{00000000-0002-0000-0000-00000E000000}"/>
    <dataValidation allowBlank="1" showInputMessage="1" showErrorMessage="1" prompt="Enter Salesperson name in cell below" sqref="B12" xr:uid="{00000000-0002-0000-0000-00000F000000}"/>
    <dataValidation allowBlank="1" showInputMessage="1" showErrorMessage="1" prompt="Enter Shipping Date in cell below" sqref="D12" xr:uid="{00000000-0002-0000-0000-000010000000}"/>
    <dataValidation allowBlank="1" showInputMessage="1" showErrorMessage="1" prompt="Enter Purchase Order Number in cell below" sqref="C12" xr:uid="{00000000-0002-0000-0000-000011000000}"/>
    <dataValidation allowBlank="1" showInputMessage="1" showErrorMessage="1" prompt="Enter quotation Terms in cell below" sqref="F12" xr:uid="{00000000-0002-0000-0000-000012000000}"/>
    <dataValidation allowBlank="1" showInputMessage="1" showErrorMessage="1" prompt="Enter Free On Board Point in cell below" sqref="E12" xr:uid="{00000000-0002-0000-0000-000013000000}"/>
    <dataValidation allowBlank="1" showInputMessage="1" showErrorMessage="1" prompt="Enter Description in this column" sqref="C15" xr:uid="{00000000-0002-0000-0000-000014000000}"/>
    <dataValidation allowBlank="1" showInputMessage="1" showErrorMessage="1" prompt="Enter Quantity in this column" sqref="B15" xr:uid="{00000000-0002-0000-0000-000015000000}"/>
    <dataValidation allowBlank="1" showInputMessage="1" showErrorMessage="1" prompt="Enter Yes for taxable items in this column" sqref="E15" xr:uid="{00000000-0002-0000-0000-000016000000}"/>
    <dataValidation allowBlank="1" showInputMessage="1" showErrorMessage="1" prompt="Amount is automatically calculated in this column under this heading and Subtotal is automatically calculated at the end of the table" sqref="F15" xr:uid="{00000000-0002-0000-0000-000017000000}"/>
    <dataValidation allowBlank="1" showInputMessage="1" showErrorMessage="1" prompt="Enter Unit Price in this column" sqref="D15" xr:uid="{00000000-0002-0000-0000-000018000000}"/>
    <dataValidation allowBlank="1" showInputMessage="1" showErrorMessage="1" prompt="Enter Tax Rate in cell at right" sqref="E23" xr:uid="{00000000-0002-0000-0000-000019000000}"/>
    <dataValidation allowBlank="1" showInputMessage="1" showErrorMessage="1" prompt="Sales Tax amount is automatically calculated in cell at right" sqref="E24" xr:uid="{00000000-0002-0000-0000-00001A000000}"/>
    <dataValidation allowBlank="1" showInputMessage="1" showErrorMessage="1" prompt="Enter Other amount in cell at right" sqref="E25" xr:uid="{00000000-0002-0000-0000-00001B000000}"/>
    <dataValidation allowBlank="1" showInputMessage="1" showErrorMessage="1" prompt="Total due is automatically calculated in cell at right" sqref="E26" xr:uid="{00000000-0002-0000-0000-00001C000000}"/>
    <dataValidation allowBlank="1" showInputMessage="1" showErrorMessage="1" prompt="Enter additional contact details in this cell" sqref="B24" xr:uid="{00000000-0002-0000-0000-00001D000000}"/>
    <dataValidation allowBlank="1" showInputMessage="1" showErrorMessage="1" prompt="Enter Tax Rate in this cell" sqref="F23" xr:uid="{00000000-0002-0000-0000-00001E000000}"/>
    <dataValidation allowBlank="1" showInputMessage="1" showErrorMessage="1" prompt="Sales Tax amount is automatically calculated in this cell" sqref="F24" xr:uid="{00000000-0002-0000-0000-00001F000000}"/>
    <dataValidation allowBlank="1" showInputMessage="1" showErrorMessage="1" prompt="Enter Other amount in this cell" sqref="F25" xr:uid="{00000000-0002-0000-0000-000020000000}"/>
    <dataValidation allowBlank="1" showInputMessage="1" showErrorMessage="1" prompt="Total due is automatically calculated in this cell" sqref="F26" xr:uid="{00000000-0002-0000-0000-000021000000}"/>
  </dataValidations>
  <printOptions horizontalCentered="1"/>
  <pageMargins left="0.25" right="0.25" top="0.25" bottom="0.75" header="0.3" footer="0.3"/>
  <pageSetup orientation="portrait" r:id="rId1"/>
  <drawing r:id="rId2"/>
  <tableParts count="2">
    <tablePart r:id="rId3"/>
    <tablePart r:id="rId4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MediaServiceKeyPoints xmlns="71af3243-3dd4-4a8d-8c0d-dd76da1f02a5" xsi:nil="true"/>
    <Status xmlns="71af3243-3dd4-4a8d-8c0d-dd76da1f02a5">Not started</Status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9F111ED35F8CC479449609E8A0923A6" ma:contentTypeVersion="12" ma:contentTypeDescription="Create a new document." ma:contentTypeScope="" ma:versionID="a754d229f0057affa62b555f2ac55d44">
  <xsd:schema xmlns:xsd="http://www.w3.org/2001/XMLSchema" xmlns:xs="http://www.w3.org/2001/XMLSchema" xmlns:p="http://schemas.microsoft.com/office/2006/metadata/properties" xmlns:ns2="71af3243-3dd4-4a8d-8c0d-dd76da1f02a5" xmlns:ns3="16c05727-aa75-4e4a-9b5f-8a80a1165891" targetNamespace="http://schemas.microsoft.com/office/2006/metadata/properties" ma:root="true" ma:fieldsID="c067517bd06b16cb9c9e315ad40fb255" ns2:_="" ns3:_="">
    <xsd:import namespace="71af3243-3dd4-4a8d-8c0d-dd76da1f02a5"/>
    <xsd:import namespace="16c05727-aa75-4e4a-9b5f-8a80a116589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CR" minOccurs="0"/>
                <xsd:element ref="ns2:MediaServiceAutoTags" minOccurs="0"/>
                <xsd:element ref="ns2:MediaServiceEventHashCode" minOccurs="0"/>
                <xsd:element ref="ns2:MediaServiceGenerationTim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af3243-3dd4-4a8d-8c0d-dd76da1f02a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AutoTags" ma:index="11" nillable="true" ma:displayName="MediaServiceAutoTags" ma:internalName="MediaServiceAutoTags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fals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Status" ma:index="19" nillable="true" ma:displayName="Status" ma:default="Not started" ma:format="Dropdown" ma:internalName="Status">
      <xsd:simpleType>
        <xsd:restriction base="dms:Choice">
          <xsd:enumeration value="Not started"/>
          <xsd:enumeration value="In Progress"/>
          <xsd:enumeration value="Completed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c05727-aa75-4e4a-9b5f-8a80a1165891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88E90B5-3EF6-4F46-9093-678232EB6CC6}">
  <ds:schemaRefs>
    <ds:schemaRef ds:uri="http://schemas.microsoft.com/office/2006/metadata/properties"/>
    <ds:schemaRef ds:uri="http://schemas.microsoft.com/office/infopath/2007/PartnerControls"/>
    <ds:schemaRef ds:uri="71af3243-3dd4-4a8d-8c0d-dd76da1f02a5"/>
  </ds:schemaRefs>
</ds:datastoreItem>
</file>

<file path=customXml/itemProps2.xml><?xml version="1.0" encoding="utf-8"?>
<ds:datastoreItem xmlns:ds="http://schemas.openxmlformats.org/officeDocument/2006/customXml" ds:itemID="{2727D14A-093F-42C0-A379-13563337B91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17A3CEB-4A47-45E7-9AFA-F5017E47B7B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1af3243-3dd4-4a8d-8c0d-dd76da1f02a5"/>
    <ds:schemaRef ds:uri="16c05727-aa75-4e4a-9b5f-8a80a116589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2</vt:i4>
      </vt:variant>
    </vt:vector>
  </HeadingPairs>
  <TitlesOfParts>
    <vt:vector size="3" baseType="lpstr">
      <vt:lpstr>Quotation</vt:lpstr>
      <vt:lpstr>Quotation!Print_Titles</vt:lpstr>
      <vt:lpstr>Tax_Rate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2019-06-20T12:43:22Z</dcterms:created>
  <dcterms:modified xsi:type="dcterms:W3CDTF">2023-02-06T15:44:04Z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0x01010079F111ED35F8CC479449609E8A0923A6</vt:lpwstr>
  </property>
</Properties>
</file>