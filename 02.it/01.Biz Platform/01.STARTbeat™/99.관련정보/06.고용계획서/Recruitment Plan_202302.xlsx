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ervanneste/Dropbox/Pinpoint/Marketing/Campaigns/Brand-Global-Content-Direct_Hiring/Recruitment Plan Template/"/>
    </mc:Choice>
  </mc:AlternateContent>
  <xr:revisionPtr revIDLastSave="0" documentId="13_ncr:1_{8CFC4605-B1B3-CB41-B0D9-9CB07357DF25}" xr6:coauthVersionLast="45" xr6:coauthVersionMax="45" xr10:uidLastSave="{00000000-0000-0000-0000-000000000000}"/>
  <bookViews>
    <workbookView xWindow="-38400" yWindow="460" windowWidth="38400" windowHeight="21140" xr2:uid="{5EA3E7D1-BEEF-A048-BC83-C125758132AB}"/>
  </bookViews>
  <sheets>
    <sheet name="Objectives" sheetId="8" r:id="rId1"/>
    <sheet name="Skill Gaps" sheetId="10" r:id="rId2"/>
    <sheet name="Headcount Planning" sheetId="2" r:id="rId3"/>
    <sheet name="Sourcing Plan" sheetId="4" r:id="rId4"/>
    <sheet name="Summary Bugdet" sheetId="9" r:id="rId5"/>
    <sheet name="Vacancy-Specific Marketing Plan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5" i="1" l="1"/>
  <c r="E18" i="9" l="1"/>
  <c r="E13" i="9" l="1"/>
  <c r="E27" i="9"/>
  <c r="O19" i="4"/>
  <c r="G19" i="4"/>
  <c r="E23" i="9"/>
  <c r="E10" i="4"/>
  <c r="E13" i="4"/>
  <c r="E14" i="4"/>
  <c r="E17" i="4"/>
  <c r="E18" i="4"/>
  <c r="E8" i="4"/>
  <c r="F26" i="1"/>
  <c r="D14" i="1" s="1"/>
  <c r="F35" i="1"/>
  <c r="E26" i="1"/>
  <c r="D15" i="1" s="1"/>
  <c r="D12" i="1"/>
  <c r="Q18" i="4"/>
  <c r="M18" i="4"/>
  <c r="N18" i="4" s="1"/>
  <c r="I18" i="4"/>
  <c r="J18" i="4" s="1"/>
  <c r="Q17" i="4"/>
  <c r="M17" i="4"/>
  <c r="N17" i="4" s="1"/>
  <c r="I17" i="4"/>
  <c r="J17" i="4" s="1"/>
  <c r="Q16" i="4"/>
  <c r="M16" i="4"/>
  <c r="I16" i="4"/>
  <c r="J16" i="4" s="1"/>
  <c r="Q14" i="4"/>
  <c r="M14" i="4"/>
  <c r="N14" i="4" s="1"/>
  <c r="I14" i="4"/>
  <c r="J14" i="4" s="1"/>
  <c r="Q13" i="4"/>
  <c r="M13" i="4"/>
  <c r="N13" i="4" s="1"/>
  <c r="I13" i="4"/>
  <c r="J13" i="4" s="1"/>
  <c r="Q12" i="4"/>
  <c r="M12" i="4"/>
  <c r="I12" i="4"/>
  <c r="J12" i="4" s="1"/>
  <c r="Q10" i="4"/>
  <c r="M10" i="4"/>
  <c r="N10" i="4" s="1"/>
  <c r="I10" i="4"/>
  <c r="J10" i="4" s="1"/>
  <c r="Q9" i="4"/>
  <c r="M9" i="4"/>
  <c r="I9" i="4"/>
  <c r="J9" i="4" s="1"/>
  <c r="Q8" i="4"/>
  <c r="M8" i="4"/>
  <c r="I8" i="4"/>
  <c r="J8" i="4" s="1"/>
  <c r="Q58" i="2"/>
  <c r="P58" i="2"/>
  <c r="O58" i="2"/>
  <c r="R52" i="2"/>
  <c r="R48" i="2"/>
  <c r="R44" i="2"/>
  <c r="R34" i="2"/>
  <c r="R30" i="2"/>
  <c r="R26" i="2"/>
  <c r="R16" i="2"/>
  <c r="R12" i="2"/>
  <c r="R8" i="2"/>
  <c r="Q56" i="2"/>
  <c r="P56" i="2"/>
  <c r="O56" i="2"/>
  <c r="N56" i="2"/>
  <c r="M56" i="2"/>
  <c r="L56" i="2"/>
  <c r="K56" i="2"/>
  <c r="J56" i="2"/>
  <c r="I56" i="2"/>
  <c r="H56" i="2"/>
  <c r="G56" i="2"/>
  <c r="H57" i="2" s="1"/>
  <c r="F56" i="2"/>
  <c r="E56" i="2"/>
  <c r="Q54" i="2"/>
  <c r="P54" i="2"/>
  <c r="O54" i="2"/>
  <c r="N54" i="2"/>
  <c r="M54" i="2"/>
  <c r="L54" i="2"/>
  <c r="K54" i="2"/>
  <c r="J54" i="2"/>
  <c r="I54" i="2"/>
  <c r="H54" i="2"/>
  <c r="G54" i="2"/>
  <c r="F54" i="2"/>
  <c r="Q50" i="2"/>
  <c r="P50" i="2"/>
  <c r="O50" i="2"/>
  <c r="N50" i="2"/>
  <c r="M50" i="2"/>
  <c r="L50" i="2"/>
  <c r="K50" i="2"/>
  <c r="J50" i="2"/>
  <c r="I50" i="2"/>
  <c r="H50" i="2"/>
  <c r="G50" i="2"/>
  <c r="F50" i="2"/>
  <c r="Q46" i="2"/>
  <c r="P46" i="2"/>
  <c r="O46" i="2"/>
  <c r="N46" i="2"/>
  <c r="N58" i="2" s="1"/>
  <c r="M46" i="2"/>
  <c r="M58" i="2" s="1"/>
  <c r="L46" i="2"/>
  <c r="L58" i="2" s="1"/>
  <c r="K46" i="2"/>
  <c r="K58" i="2" s="1"/>
  <c r="J46" i="2"/>
  <c r="J58" i="2" s="1"/>
  <c r="I46" i="2"/>
  <c r="I58" i="2" s="1"/>
  <c r="H46" i="2"/>
  <c r="H58" i="2" s="1"/>
  <c r="G46" i="2"/>
  <c r="G58" i="2" s="1"/>
  <c r="F46" i="2"/>
  <c r="F58" i="2" s="1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Q36" i="2"/>
  <c r="P36" i="2"/>
  <c r="O36" i="2"/>
  <c r="N36" i="2"/>
  <c r="M36" i="2"/>
  <c r="L36" i="2"/>
  <c r="K36" i="2"/>
  <c r="J36" i="2"/>
  <c r="I36" i="2"/>
  <c r="H36" i="2"/>
  <c r="G36" i="2"/>
  <c r="F36" i="2"/>
  <c r="Q32" i="2"/>
  <c r="P32" i="2"/>
  <c r="O32" i="2"/>
  <c r="N32" i="2"/>
  <c r="M32" i="2"/>
  <c r="L32" i="2"/>
  <c r="K32" i="2"/>
  <c r="J32" i="2"/>
  <c r="I32" i="2"/>
  <c r="H32" i="2"/>
  <c r="G32" i="2"/>
  <c r="F32" i="2"/>
  <c r="Q28" i="2"/>
  <c r="Q40" i="2" s="1"/>
  <c r="P28" i="2"/>
  <c r="O28" i="2"/>
  <c r="O40" i="2" s="1"/>
  <c r="N28" i="2"/>
  <c r="N40" i="2" s="1"/>
  <c r="M28" i="2"/>
  <c r="M40" i="2" s="1"/>
  <c r="L28" i="2"/>
  <c r="L40" i="2" s="1"/>
  <c r="K28" i="2"/>
  <c r="J28" i="2"/>
  <c r="J40" i="2" s="1"/>
  <c r="I28" i="2"/>
  <c r="I40" i="2" s="1"/>
  <c r="H28" i="2"/>
  <c r="H40" i="2" s="1"/>
  <c r="G28" i="2"/>
  <c r="G40" i="2" s="1"/>
  <c r="F28" i="2"/>
  <c r="F20" i="2"/>
  <c r="F21" i="2" s="1"/>
  <c r="G20" i="2"/>
  <c r="G21" i="2" s="1"/>
  <c r="H20" i="2"/>
  <c r="I20" i="2"/>
  <c r="I21" i="2" s="1"/>
  <c r="J20" i="2"/>
  <c r="J21" i="2" s="1"/>
  <c r="K20" i="2"/>
  <c r="K21" i="2" s="1"/>
  <c r="L20" i="2"/>
  <c r="L21" i="2" s="1"/>
  <c r="M20" i="2"/>
  <c r="N20" i="2"/>
  <c r="N21" i="2" s="1"/>
  <c r="O20" i="2"/>
  <c r="P20" i="2"/>
  <c r="P21" i="2" s="1"/>
  <c r="Q20" i="2"/>
  <c r="Q21" i="2" s="1"/>
  <c r="E20" i="2"/>
  <c r="Q18" i="2"/>
  <c r="P18" i="2"/>
  <c r="O18" i="2"/>
  <c r="N18" i="2"/>
  <c r="M18" i="2"/>
  <c r="L18" i="2"/>
  <c r="K18" i="2"/>
  <c r="J18" i="2"/>
  <c r="I18" i="2"/>
  <c r="H18" i="2"/>
  <c r="G18" i="2"/>
  <c r="F18" i="2"/>
  <c r="Q14" i="2"/>
  <c r="Q22" i="2" s="1"/>
  <c r="P14" i="2"/>
  <c r="O14" i="2"/>
  <c r="N14" i="2"/>
  <c r="M14" i="2"/>
  <c r="L14" i="2"/>
  <c r="K14" i="2"/>
  <c r="J14" i="2"/>
  <c r="I14" i="2"/>
  <c r="H14" i="2"/>
  <c r="G14" i="2"/>
  <c r="F14" i="2"/>
  <c r="G10" i="2"/>
  <c r="G22" i="2" s="1"/>
  <c r="H10" i="2"/>
  <c r="H22" i="2" s="1"/>
  <c r="I10" i="2"/>
  <c r="I22" i="2" s="1"/>
  <c r="J10" i="2"/>
  <c r="K10" i="2"/>
  <c r="K22" i="2" s="1"/>
  <c r="L10" i="2"/>
  <c r="L22" i="2" s="1"/>
  <c r="M10" i="2"/>
  <c r="N10" i="2"/>
  <c r="O10" i="2"/>
  <c r="P10" i="2"/>
  <c r="Q10" i="2"/>
  <c r="F10" i="2"/>
  <c r="H21" i="2" l="1"/>
  <c r="K40" i="2"/>
  <c r="J57" i="2"/>
  <c r="P40" i="2"/>
  <c r="D10" i="4"/>
  <c r="O22" i="2"/>
  <c r="P22" i="2"/>
  <c r="D9" i="4"/>
  <c r="K9" i="4" s="1"/>
  <c r="K19" i="4" s="1"/>
  <c r="D12" i="4"/>
  <c r="K12" i="4" s="1"/>
  <c r="E12" i="4" s="1"/>
  <c r="Q19" i="4"/>
  <c r="E7" i="9" s="1"/>
  <c r="G7" i="9" s="1"/>
  <c r="D8" i="4"/>
  <c r="D19" i="4" s="1"/>
  <c r="N22" i="2"/>
  <c r="J22" i="2"/>
  <c r="D13" i="4"/>
  <c r="D14" i="4"/>
  <c r="D17" i="4"/>
  <c r="D18" i="4"/>
  <c r="M22" i="2"/>
  <c r="M21" i="2"/>
  <c r="D16" i="4"/>
  <c r="K16" i="4" s="1"/>
  <c r="E16" i="4" s="1"/>
  <c r="O21" i="2"/>
  <c r="P39" i="2"/>
  <c r="F40" i="2"/>
  <c r="F22" i="2"/>
  <c r="K57" i="2"/>
  <c r="M57" i="2"/>
  <c r="N57" i="2"/>
  <c r="L57" i="2"/>
  <c r="O39" i="2"/>
  <c r="J19" i="4"/>
  <c r="E5" i="9" s="1"/>
  <c r="G5" i="9" s="1"/>
  <c r="N9" i="4"/>
  <c r="R9" i="4" s="1"/>
  <c r="R10" i="4"/>
  <c r="R14" i="4"/>
  <c r="N12" i="4"/>
  <c r="R12" i="4" s="1"/>
  <c r="R18" i="4"/>
  <c r="R17" i="4"/>
  <c r="R13" i="4"/>
  <c r="N8" i="4"/>
  <c r="R8" i="4" s="1"/>
  <c r="I57" i="2"/>
  <c r="Q57" i="2"/>
  <c r="O57" i="2"/>
  <c r="P57" i="2"/>
  <c r="F57" i="2"/>
  <c r="Q39" i="2"/>
  <c r="H39" i="2"/>
  <c r="G39" i="2"/>
  <c r="F39" i="2"/>
  <c r="M39" i="2"/>
  <c r="I39" i="2"/>
  <c r="K39" i="2"/>
  <c r="N39" i="2"/>
  <c r="J39" i="2"/>
  <c r="L39" i="2"/>
  <c r="G57" i="2"/>
  <c r="E9" i="4" l="1"/>
  <c r="N16" i="4"/>
  <c r="R16" i="4" s="1"/>
  <c r="R19" i="4" s="1"/>
  <c r="N19" i="4" l="1"/>
  <c r="E6" i="9" s="1"/>
  <c r="G6" i="9" s="1"/>
  <c r="E8" i="9" l="1"/>
  <c r="E29" i="9" s="1"/>
  <c r="H29" i="9" s="1"/>
  <c r="G8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E6" authorId="0" shapeId="0" xr:uid="{D9146B99-0B89-224F-8530-9281407E7BCE}">
      <text>
        <r>
          <rPr>
            <b/>
            <sz val="10"/>
            <color rgb="FF000000"/>
            <rFont val="Tahoma"/>
            <family val="2"/>
          </rPr>
          <t>If a cell in this column is red, it means you have too many or too few forecast hires in total across columns G, K, and O.</t>
        </r>
      </text>
    </comment>
  </commentList>
</comments>
</file>

<file path=xl/sharedStrings.xml><?xml version="1.0" encoding="utf-8"?>
<sst xmlns="http://schemas.openxmlformats.org/spreadsheetml/2006/main" count="330" uniqueCount="129">
  <si>
    <t>Strategy</t>
  </si>
  <si>
    <t>Job Boards</t>
  </si>
  <si>
    <t>Programmatic</t>
  </si>
  <si>
    <t>Launch Date</t>
  </si>
  <si>
    <t>Department</t>
  </si>
  <si>
    <t>Role 1</t>
  </si>
  <si>
    <t>Role 2</t>
  </si>
  <si>
    <t>Role 3</t>
  </si>
  <si>
    <t>Department 2</t>
  </si>
  <si>
    <t>Department 1</t>
  </si>
  <si>
    <t>Target Headcount</t>
  </si>
  <si>
    <t>New Starters Required</t>
  </si>
  <si>
    <t>Current</t>
  </si>
  <si>
    <t>Total Headcount</t>
  </si>
  <si>
    <t>Change in Headcount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</si>
  <si>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</si>
  <si>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</si>
  <si>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</si>
  <si>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</si>
  <si>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</si>
  <si>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</si>
  <si>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</si>
  <si>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</si>
  <si>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</si>
  <si>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</si>
  <si>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</si>
  <si>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</si>
  <si>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Department 3</t>
  </si>
  <si>
    <t>Change</t>
  </si>
  <si>
    <t>Total Hires</t>
  </si>
  <si>
    <t>Budget</t>
  </si>
  <si>
    <t>Hires Required</t>
  </si>
  <si>
    <t>Recruiter Fee Per Hire</t>
  </si>
  <si>
    <t>Total</t>
  </si>
  <si>
    <t>Salary</t>
  </si>
  <si>
    <t>Avg Salary</t>
  </si>
  <si>
    <t>Total Recruiter Fees</t>
  </si>
  <si>
    <t>Total Recruitment Marketing</t>
  </si>
  <si>
    <t>External Recruiters</t>
  </si>
  <si>
    <t>Direct Hires</t>
  </si>
  <si>
    <t>Hired Via External Recruiter</t>
  </si>
  <si>
    <t>Employee Referrals</t>
  </si>
  <si>
    <t># from Employee Referals</t>
  </si>
  <si>
    <t>Total Sourcing Cost</t>
  </si>
  <si>
    <t>Cost of Incentive Per Hire</t>
  </si>
  <si>
    <t>Total Employee Referrals</t>
  </si>
  <si>
    <t>Sourcing Plan</t>
  </si>
  <si>
    <t>Hires Via Recruiters</t>
  </si>
  <si>
    <t>Advertising Cost / Hire</t>
  </si>
  <si>
    <t>Vacancy</t>
  </si>
  <si>
    <t>Responsibility</t>
  </si>
  <si>
    <t>Close Date</t>
  </si>
  <si>
    <t>Applicant to hire rate</t>
  </si>
  <si>
    <t>Expected number of applicants</t>
  </si>
  <si>
    <t>Facebook</t>
  </si>
  <si>
    <t>Instagram</t>
  </si>
  <si>
    <t>Rationale</t>
  </si>
  <si>
    <t>Dribbble</t>
  </si>
  <si>
    <t>Remoters.net</t>
  </si>
  <si>
    <t>A leading job board for designers</t>
  </si>
  <si>
    <t>Design</t>
  </si>
  <si>
    <t>Number of hires required</t>
  </si>
  <si>
    <t>Target number of applicants</t>
  </si>
  <si>
    <t xml:space="preserve">A well known job board for quality remote workers </t>
  </si>
  <si>
    <t>Headcount Planning</t>
  </si>
  <si>
    <t>Forecast Turnover / Attrition</t>
  </si>
  <si>
    <t>JS</t>
  </si>
  <si>
    <t>Previous success hiring designers on Facebook for less than £500 / hire</t>
  </si>
  <si>
    <t>This will be included in the Facebook advertising budget above</t>
  </si>
  <si>
    <t>Paid Distribution Activity</t>
  </si>
  <si>
    <t>Other Activity</t>
  </si>
  <si>
    <t>TM</t>
  </si>
  <si>
    <t>Activity</t>
  </si>
  <si>
    <t>Launch on employee referral platform</t>
  </si>
  <si>
    <t>Share on organic social channels</t>
  </si>
  <si>
    <t>Facebook, Instagram, Twitter, LinkedIn</t>
  </si>
  <si>
    <t>Add to Facebook jobs page</t>
  </si>
  <si>
    <t>Launch on careers website</t>
  </si>
  <si>
    <t>Forecast number of applicants</t>
  </si>
  <si>
    <t>Budget Required</t>
  </si>
  <si>
    <t>Objectives</t>
  </si>
  <si>
    <t>Owned By</t>
  </si>
  <si>
    <t>Benchmark</t>
  </si>
  <si>
    <t>Success Outcome</t>
  </si>
  <si>
    <t xml:space="preserve">Objective: </t>
  </si>
  <si>
    <t>Objective 1</t>
  </si>
  <si>
    <t xml:space="preserve">What would success look like? </t>
  </si>
  <si>
    <t xml:space="preserve">How will this activity help us meet the objective? </t>
  </si>
  <si>
    <t xml:space="preserve">Who is responsible? </t>
  </si>
  <si>
    <t>Current situation</t>
  </si>
  <si>
    <t>Activity 1</t>
  </si>
  <si>
    <t>Target Completion Date</t>
  </si>
  <si>
    <t>Objective 2</t>
  </si>
  <si>
    <t>Objective 3</t>
  </si>
  <si>
    <t>Hires in Sourcing Plan</t>
  </si>
  <si>
    <t>Recruter Fee (% of Salary)</t>
  </si>
  <si>
    <t>Advertising Cost (% of Salary)</t>
  </si>
  <si>
    <t>Sourcing</t>
  </si>
  <si>
    <t>Technology</t>
  </si>
  <si>
    <t>Employer Branding</t>
  </si>
  <si>
    <t>Applicant Tracking System</t>
  </si>
  <si>
    <t>Onboarding Software</t>
  </si>
  <si>
    <t>Careers website photography</t>
  </si>
  <si>
    <t>Team</t>
  </si>
  <si>
    <t>Head of Talent Acquisition</t>
  </si>
  <si>
    <t>Recruitment Marketing</t>
  </si>
  <si>
    <t>Employee Referral Incentives</t>
  </si>
  <si>
    <t>Total Sourcing</t>
  </si>
  <si>
    <t>Total Employer Branding</t>
  </si>
  <si>
    <t>Total Technology</t>
  </si>
  <si>
    <t>Total Team</t>
  </si>
  <si>
    <t>Sourcing Cost / Hire</t>
  </si>
  <si>
    <t>Fully Loaded Cost / Hire:</t>
  </si>
  <si>
    <t>Employer branding advertising</t>
  </si>
  <si>
    <t>Vacancy-Specific Marketing Plan</t>
  </si>
  <si>
    <t>Mid-Weight Designer</t>
  </si>
  <si>
    <t>Updates to this tab will be reflected in the budget</t>
  </si>
  <si>
    <t>Updates to this tab will be reflected in sourcing plan and budget</t>
  </si>
  <si>
    <t>Summary Budget</t>
  </si>
  <si>
    <t>Skill Gaps</t>
  </si>
  <si>
    <t>Department:</t>
  </si>
  <si>
    <t>Skill</t>
  </si>
  <si>
    <t>How we can improve</t>
  </si>
  <si>
    <t xml:space="preserve">Why is this skill important? </t>
  </si>
  <si>
    <t xml:space="preserve">e.g. through hiring, training, contracting out, or redeploying existing resources. </t>
  </si>
  <si>
    <t>Skill gap</t>
  </si>
  <si>
    <t>Selection</t>
  </si>
  <si>
    <t>Testing</t>
  </si>
  <si>
    <t>Background checks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</si>
</sst>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"/>
    <numFmt numFmtId="165" formatCode="&quot;£&quot;#,##0.00"/>
  </numFmts>
  <fonts count="15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7F3E7"/>
        <bgColor indexed="64"/>
      </patternFill>
    </fill>
    <fill>
      <patternFill patternType="solid">
        <fgColor rgb="FF364940"/>
        <bgColor indexed="64"/>
      </patternFill>
    </fill>
    <fill>
      <patternFill patternType="solid">
        <fgColor rgb="FFFCB643"/>
        <bgColor indexed="64"/>
      </patternFill>
    </fill>
    <fill>
      <patternFill patternType="solid">
        <fgColor rgb="FFF4C1B1"/>
        <bgColor indexed="64"/>
      </patternFill>
    </fill>
    <fill>
      <patternFill patternType="solid">
        <fgColor rgb="FF364940"/>
        <bgColor rgb="FF000000"/>
      </patternFill>
    </fill>
    <fill>
      <patternFill patternType="solid">
        <fgColor rgb="FFF7F3E7"/>
        <bgColor rgb="FF000000"/>
      </patternFill>
    </fill>
    <fill>
      <patternFill patternType="solid">
        <fgColor rgb="FFFCB643"/>
        <bgColor rgb="FF000000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3" borderId="0" xfId="0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right" vertical="center"/>
    </xf>
    <xf numFmtId="0" fontId="0" fillId="3" borderId="0" xfId="0" applyFill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3" fillId="4" borderId="0" xfId="0" applyFont="1" applyFill="1" applyAlignment="1">
      <alignment vertical="center"/>
    </xf>
    <xf numFmtId="0" fontId="1" fillId="4" borderId="0" xfId="0" applyFont="1" applyFill="1" applyAlignment="1">
      <alignment horizontal="right" vertical="center"/>
    </xf>
    <xf numFmtId="0" fontId="2" fillId="5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right" vertical="center"/>
    </xf>
    <xf numFmtId="0" fontId="0" fillId="0" borderId="0" xfId="0" applyFill="1" applyAlignment="1">
      <alignment horizontal="right" vertical="center"/>
    </xf>
    <xf numFmtId="0" fontId="6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0" fillId="5" borderId="5" xfId="0" applyFill="1" applyBorder="1" applyAlignment="1">
      <alignment horizontal="right" vertical="center"/>
    </xf>
    <xf numFmtId="0" fontId="0" fillId="5" borderId="0" xfId="0" applyFill="1" applyBorder="1" applyAlignment="1">
      <alignment horizontal="right" vertical="center"/>
    </xf>
    <xf numFmtId="0" fontId="0" fillId="5" borderId="6" xfId="0" applyFill="1" applyBorder="1" applyAlignment="1">
      <alignment horizontal="right" vertical="center"/>
    </xf>
    <xf numFmtId="0" fontId="0" fillId="2" borderId="5" xfId="0" applyFill="1" applyBorder="1" applyAlignment="1">
      <alignment horizontal="right" vertical="center"/>
    </xf>
    <xf numFmtId="9" fontId="0" fillId="2" borderId="0" xfId="0" applyNumberFormat="1" applyFill="1" applyBorder="1" applyAlignment="1">
      <alignment horizontal="right" vertical="center"/>
    </xf>
    <xf numFmtId="0" fontId="0" fillId="3" borderId="0" xfId="0" applyFill="1" applyBorder="1" applyAlignment="1">
      <alignment horizontal="right" vertical="center"/>
    </xf>
    <xf numFmtId="10" fontId="0" fillId="2" borderId="0" xfId="0" applyNumberFormat="1" applyFill="1" applyBorder="1" applyAlignment="1">
      <alignment horizontal="right" vertical="center"/>
    </xf>
    <xf numFmtId="0" fontId="2" fillId="5" borderId="2" xfId="0" applyFont="1" applyFill="1" applyBorder="1" applyAlignment="1">
      <alignment vertical="center"/>
    </xf>
    <xf numFmtId="0" fontId="2" fillId="5" borderId="3" xfId="0" applyFont="1" applyFill="1" applyBorder="1" applyAlignment="1">
      <alignment vertical="center"/>
    </xf>
    <xf numFmtId="0" fontId="0" fillId="5" borderId="3" xfId="0" applyFill="1" applyBorder="1" applyAlignment="1">
      <alignment horizontal="right" vertical="center"/>
    </xf>
    <xf numFmtId="0" fontId="0" fillId="5" borderId="4" xfId="0" applyFill="1" applyBorder="1" applyAlignment="1">
      <alignment horizontal="right" vertical="center"/>
    </xf>
    <xf numFmtId="0" fontId="0" fillId="3" borderId="5" xfId="0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2" fillId="5" borderId="5" xfId="0" applyFont="1" applyFill="1" applyBorder="1" applyAlignment="1">
      <alignment vertical="center"/>
    </xf>
    <xf numFmtId="0" fontId="2" fillId="5" borderId="0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0" fillId="3" borderId="8" xfId="0" applyFill="1" applyBorder="1" applyAlignment="1">
      <alignment vertical="center"/>
    </xf>
    <xf numFmtId="164" fontId="0" fillId="2" borderId="6" xfId="0" applyNumberFormat="1" applyFill="1" applyBorder="1" applyAlignment="1">
      <alignment horizontal="right" vertical="center"/>
    </xf>
    <xf numFmtId="164" fontId="0" fillId="3" borderId="0" xfId="0" applyNumberFormat="1" applyFill="1" applyBorder="1" applyAlignment="1">
      <alignment horizontal="right" vertical="center"/>
    </xf>
    <xf numFmtId="164" fontId="0" fillId="3" borderId="6" xfId="0" applyNumberFormat="1" applyFill="1" applyBorder="1" applyAlignment="1">
      <alignment horizontal="right" vertical="center"/>
    </xf>
    <xf numFmtId="164" fontId="0" fillId="2" borderId="0" xfId="0" applyNumberFormat="1" applyFill="1" applyBorder="1" applyAlignment="1">
      <alignment horizontal="right" vertical="center"/>
    </xf>
    <xf numFmtId="164" fontId="0" fillId="3" borderId="0" xfId="0" applyNumberFormat="1" applyFill="1" applyAlignment="1">
      <alignment horizontal="right" vertical="center"/>
    </xf>
    <xf numFmtId="0" fontId="0" fillId="5" borderId="10" xfId="0" applyFill="1" applyBorder="1" applyAlignment="1">
      <alignment horizontal="right" vertical="center"/>
    </xf>
    <xf numFmtId="164" fontId="0" fillId="3" borderId="10" xfId="0" applyNumberFormat="1" applyFill="1" applyBorder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0" fillId="3" borderId="4" xfId="0" applyFill="1" applyBorder="1" applyAlignment="1">
      <alignment horizontal="left" vertical="center"/>
    </xf>
    <xf numFmtId="0" fontId="2" fillId="3" borderId="5" xfId="0" applyFont="1" applyFill="1" applyBorder="1" applyAlignment="1">
      <alignment vertical="center"/>
    </xf>
    <xf numFmtId="0" fontId="0" fillId="3" borderId="6" xfId="0" applyFill="1" applyBorder="1" applyAlignment="1">
      <alignment horizontal="left" vertical="center"/>
    </xf>
    <xf numFmtId="164" fontId="0" fillId="3" borderId="6" xfId="0" applyNumberFormat="1" applyFill="1" applyBorder="1" applyAlignment="1">
      <alignment horizontal="left" vertical="center"/>
    </xf>
    <xf numFmtId="14" fontId="0" fillId="3" borderId="6" xfId="0" applyNumberFormat="1" applyFill="1" applyBorder="1" applyAlignment="1">
      <alignment horizontal="left" vertical="center"/>
    </xf>
    <xf numFmtId="14" fontId="0" fillId="3" borderId="9" xfId="0" applyNumberFormat="1" applyFill="1" applyBorder="1" applyAlignment="1">
      <alignment horizontal="left" vertical="center"/>
    </xf>
    <xf numFmtId="164" fontId="0" fillId="3" borderId="0" xfId="0" applyNumberFormat="1" applyFill="1" applyAlignment="1">
      <alignment vertical="center"/>
    </xf>
    <xf numFmtId="14" fontId="0" fillId="3" borderId="0" xfId="0" applyNumberFormat="1" applyFill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9" fontId="0" fillId="3" borderId="6" xfId="0" applyNumberFormat="1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1" fillId="4" borderId="0" xfId="0" applyFont="1" applyFill="1" applyAlignment="1">
      <alignment vertical="center"/>
    </xf>
    <xf numFmtId="14" fontId="0" fillId="3" borderId="0" xfId="0" applyNumberFormat="1" applyFill="1" applyAlignment="1">
      <alignment horizontal="right" vertical="center"/>
    </xf>
    <xf numFmtId="3" fontId="0" fillId="3" borderId="0" xfId="0" applyNumberFormat="1" applyFill="1" applyAlignment="1">
      <alignment vertical="center"/>
    </xf>
    <xf numFmtId="0" fontId="0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0" fontId="2" fillId="3" borderId="0" xfId="0" applyNumberFormat="1" applyFont="1" applyFill="1" applyAlignment="1">
      <alignment vertical="center"/>
    </xf>
    <xf numFmtId="0" fontId="2" fillId="3" borderId="0" xfId="0" applyFont="1" applyFill="1" applyBorder="1" applyAlignment="1">
      <alignment vertical="center"/>
    </xf>
    <xf numFmtId="3" fontId="0" fillId="3" borderId="4" xfId="0" applyNumberFormat="1" applyFill="1" applyBorder="1" applyAlignment="1">
      <alignment vertical="center"/>
    </xf>
    <xf numFmtId="164" fontId="0" fillId="3" borderId="9" xfId="0" applyNumberFormat="1" applyFill="1" applyBorder="1" applyAlignment="1">
      <alignment vertical="center"/>
    </xf>
    <xf numFmtId="0" fontId="1" fillId="4" borderId="3" xfId="0" applyFont="1" applyFill="1" applyBorder="1" applyAlignment="1">
      <alignment horizontal="right" vertical="center"/>
    </xf>
    <xf numFmtId="0" fontId="1" fillId="4" borderId="4" xfId="0" applyFont="1" applyFill="1" applyBorder="1" applyAlignment="1">
      <alignment horizontal="right" vertical="center"/>
    </xf>
    <xf numFmtId="0" fontId="1" fillId="4" borderId="7" xfId="0" applyFont="1" applyFill="1" applyBorder="1" applyAlignment="1">
      <alignment horizontal="right" vertical="center"/>
    </xf>
    <xf numFmtId="0" fontId="1" fillId="4" borderId="8" xfId="0" applyFont="1" applyFill="1" applyBorder="1" applyAlignment="1">
      <alignment horizontal="right" vertical="center"/>
    </xf>
    <xf numFmtId="0" fontId="1" fillId="4" borderId="9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0" fontId="1" fillId="4" borderId="1" xfId="0" applyFont="1" applyFill="1" applyBorder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9" fillId="3" borderId="0" xfId="0" applyFont="1" applyFill="1" applyAlignment="1">
      <alignment horizontal="right" vertical="center"/>
    </xf>
    <xf numFmtId="164" fontId="10" fillId="3" borderId="0" xfId="0" applyNumberFormat="1" applyFont="1" applyFill="1" applyAlignment="1">
      <alignment horizontal="right" vertical="center"/>
    </xf>
    <xf numFmtId="164" fontId="10" fillId="3" borderId="0" xfId="0" applyNumberFormat="1" applyFont="1" applyFill="1" applyAlignment="1">
      <alignment vertical="center"/>
    </xf>
    <xf numFmtId="165" fontId="9" fillId="3" borderId="0" xfId="0" applyNumberFormat="1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2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164" fontId="3" fillId="4" borderId="0" xfId="0" applyNumberFormat="1" applyFont="1" applyFill="1" applyAlignment="1">
      <alignment vertical="center"/>
    </xf>
    <xf numFmtId="0" fontId="2" fillId="6" borderId="7" xfId="0" applyFont="1" applyFill="1" applyBorder="1" applyAlignment="1">
      <alignment vertical="center"/>
    </xf>
    <xf numFmtId="0" fontId="2" fillId="6" borderId="8" xfId="0" applyFont="1" applyFill="1" applyBorder="1" applyAlignment="1">
      <alignment vertical="center"/>
    </xf>
    <xf numFmtId="0" fontId="2" fillId="6" borderId="8" xfId="0" applyFont="1" applyFill="1" applyBorder="1" applyAlignment="1">
      <alignment horizontal="right" vertical="center"/>
    </xf>
    <xf numFmtId="0" fontId="2" fillId="6" borderId="9" xfId="0" applyFont="1" applyFill="1" applyBorder="1" applyAlignment="1">
      <alignment horizontal="right" vertical="center"/>
    </xf>
    <xf numFmtId="164" fontId="2" fillId="6" borderId="9" xfId="0" applyNumberFormat="1" applyFont="1" applyFill="1" applyBorder="1" applyAlignment="1">
      <alignment horizontal="right" vertical="center"/>
    </xf>
    <xf numFmtId="164" fontId="2" fillId="6" borderId="11" xfId="0" applyNumberFormat="1" applyFont="1" applyFill="1" applyBorder="1" applyAlignment="1">
      <alignment horizontal="right" vertical="center"/>
    </xf>
    <xf numFmtId="0" fontId="2" fillId="6" borderId="0" xfId="0" applyFont="1" applyFill="1" applyAlignment="1">
      <alignment vertical="center"/>
    </xf>
    <xf numFmtId="0" fontId="0" fillId="6" borderId="0" xfId="0" applyFill="1" applyAlignment="1">
      <alignment vertical="center"/>
    </xf>
    <xf numFmtId="0" fontId="0" fillId="6" borderId="0" xfId="0" applyFill="1" applyAlignment="1">
      <alignment horizontal="right" vertical="center"/>
    </xf>
    <xf numFmtId="0" fontId="2" fillId="6" borderId="0" xfId="0" applyFont="1" applyFill="1" applyAlignment="1">
      <alignment horizontal="right" vertical="center"/>
    </xf>
    <xf numFmtId="164" fontId="2" fillId="6" borderId="0" xfId="0" applyNumberFormat="1" applyFont="1" applyFill="1" applyAlignment="1">
      <alignment vertical="center"/>
    </xf>
    <xf numFmtId="3" fontId="2" fillId="6" borderId="0" xfId="0" applyNumberFormat="1" applyFont="1" applyFill="1" applyAlignment="1">
      <alignment vertical="center"/>
    </xf>
    <xf numFmtId="0" fontId="0" fillId="5" borderId="0" xfId="0" applyFont="1" applyFill="1" applyAlignment="1">
      <alignment vertical="center"/>
    </xf>
    <xf numFmtId="0" fontId="2" fillId="5" borderId="0" xfId="0" applyFont="1" applyFill="1" applyAlignment="1">
      <alignment horizontal="right" vertical="center"/>
    </xf>
    <xf numFmtId="165" fontId="10" fillId="3" borderId="0" xfId="0" applyNumberFormat="1" applyFont="1" applyFill="1" applyAlignment="1">
      <alignment vertical="center"/>
    </xf>
    <xf numFmtId="0" fontId="11" fillId="7" borderId="0" xfId="0" applyFont="1" applyFill="1" applyAlignment="1">
      <alignment vertical="center"/>
    </xf>
    <xf numFmtId="0" fontId="12" fillId="7" borderId="0" xfId="0" applyFont="1" applyFill="1" applyAlignment="1">
      <alignment horizontal="left" vertical="center"/>
    </xf>
    <xf numFmtId="0" fontId="11" fillId="7" borderId="0" xfId="0" applyFont="1" applyFill="1" applyAlignment="1">
      <alignment horizontal="right" vertical="center"/>
    </xf>
    <xf numFmtId="0" fontId="13" fillId="8" borderId="0" xfId="0" applyFont="1" applyFill="1" applyAlignment="1">
      <alignment vertical="center"/>
    </xf>
    <xf numFmtId="0" fontId="13" fillId="8" borderId="0" xfId="0" applyFont="1" applyFill="1" applyAlignment="1">
      <alignment horizontal="right" vertical="center"/>
    </xf>
    <xf numFmtId="0" fontId="13" fillId="9" borderId="0" xfId="0" applyFont="1" applyFill="1" applyAlignment="1">
      <alignment vertical="center"/>
    </xf>
    <xf numFmtId="0" fontId="14" fillId="8" borderId="0" xfId="0" applyFont="1" applyFill="1" applyAlignment="1">
      <alignment vertical="center"/>
    </xf>
    <xf numFmtId="164" fontId="0" fillId="2" borderId="0" xfId="0" applyNumberFormat="1" applyFill="1" applyAlignment="1">
      <alignment vertical="center"/>
    </xf>
    <xf numFmtId="164" fontId="0" fillId="2" borderId="0" xfId="0" applyNumberFormat="1" applyFont="1" applyFill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CB643"/>
      <color rgb="FF364940"/>
      <color rgb="FFF7F3E7"/>
      <color rgb="FFF4C1B1"/>
      <color rgb="FFCFE0D8"/>
      <color rgb="FFF1564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285B7-62FC-1143-98B2-591D1F7ED748}">
  <dimension ref="B2:R32"/>
  <sheetViews>
    <sheetView tabSelected="1" workbookViewId="0">
      <selection activeCell="G27" sqref="G27"/>
    </sheetView>
  </sheetViews>
  <sheetFormatPr baseColWidth="10" defaultRowHeight="25" customHeight="1"/>
  <cols>
    <col min="1" max="1" width="10.83203125" style="1"/>
    <col min="2" max="2" width="3.1640625" style="1" customWidth="1"/>
    <col min="3" max="3" width="11.33203125" style="1" customWidth="1"/>
    <col min="4" max="4" width="42.83203125" style="1" bestFit="1" customWidth="1"/>
    <col min="5" max="5" width="18.1640625" style="1" customWidth="1"/>
    <col min="6" max="6" width="15.83203125" style="1" bestFit="1" customWidth="1"/>
    <col min="7" max="7" width="11.6640625" style="1" bestFit="1" customWidth="1"/>
    <col min="8" max="8" width="19.5" style="1" bestFit="1" customWidth="1"/>
    <col min="9" max="9" width="21" style="1" bestFit="1" customWidth="1"/>
    <col min="10" max="10" width="19.5" style="1" customWidth="1"/>
    <col min="11" max="11" width="23.1640625" style="1" bestFit="1" customWidth="1"/>
    <col min="12" max="12" width="20" style="1" bestFit="1" customWidth="1"/>
    <col min="13" max="13" width="28" style="1" customWidth="1"/>
    <col min="14" max="14" width="23" style="1" bestFit="1" customWidth="1"/>
    <col min="15" max="15" width="22.5" style="1" bestFit="1" customWidth="1"/>
    <col min="16" max="16" width="28" style="1" bestFit="1" customWidth="1"/>
    <col min="17" max="17" width="17" style="1" bestFit="1" customWidth="1"/>
    <col min="18" max="16384" width="10.83203125" style="1"/>
  </cols>
  <sheetData>
    <row r="2" spans="2:18" ht="25" customHeight="1">
      <c r="B2" s="13" t="s">
        <v>80</v>
      </c>
    </row>
    <row r="3" spans="2:18" ht="25" customHeight="1">
      <c r="B3" s="13"/>
    </row>
    <row r="4" spans="2:18" ht="25" customHeight="1">
      <c r="B4" s="55" t="s">
        <v>84</v>
      </c>
      <c r="C4" s="55"/>
      <c r="D4" s="69" t="s">
        <v>85</v>
      </c>
      <c r="E4" s="7"/>
      <c r="F4" s="7"/>
      <c r="G4" s="7"/>
      <c r="H4" s="7"/>
      <c r="I4" s="7"/>
      <c r="J4" s="3"/>
      <c r="K4" s="3"/>
      <c r="L4" s="3"/>
      <c r="M4" s="3"/>
      <c r="N4" s="3"/>
      <c r="O4" s="3"/>
      <c r="P4" s="3"/>
      <c r="Q4" s="3"/>
    </row>
    <row r="5" spans="2:18" ht="25" customHeight="1">
      <c r="B5" s="2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2:18" ht="25" customHeight="1">
      <c r="B6" s="8" t="s">
        <v>72</v>
      </c>
      <c r="C6" s="8"/>
      <c r="D6" s="8" t="s">
        <v>56</v>
      </c>
      <c r="E6" s="8" t="s">
        <v>81</v>
      </c>
      <c r="F6" s="8" t="s">
        <v>82</v>
      </c>
      <c r="G6" s="8" t="s">
        <v>83</v>
      </c>
      <c r="H6" s="8"/>
      <c r="I6" s="8" t="s">
        <v>91</v>
      </c>
      <c r="J6" s="2"/>
      <c r="K6" s="2"/>
      <c r="L6" s="2"/>
      <c r="M6" s="2"/>
      <c r="N6" s="2"/>
      <c r="O6" s="2"/>
      <c r="P6" s="2"/>
      <c r="Q6" s="2"/>
    </row>
    <row r="7" spans="2:18" ht="25" customHeight="1">
      <c r="B7" s="1" t="s">
        <v>90</v>
      </c>
      <c r="D7" s="1" t="s">
        <v>87</v>
      </c>
      <c r="E7" s="1" t="s">
        <v>88</v>
      </c>
      <c r="F7" s="1" t="s">
        <v>89</v>
      </c>
      <c r="G7" s="1" t="s">
        <v>86</v>
      </c>
      <c r="I7" s="50">
        <v>44561</v>
      </c>
    </row>
    <row r="8" spans="2:18" ht="25" customHeight="1">
      <c r="B8" s="1" t="s">
        <v>90</v>
      </c>
      <c r="D8" s="1" t="s">
        <v>87</v>
      </c>
      <c r="E8" s="1" t="s">
        <v>88</v>
      </c>
      <c r="F8" s="1" t="s">
        <v>89</v>
      </c>
      <c r="G8" s="1" t="s">
        <v>86</v>
      </c>
      <c r="I8" s="50">
        <v>44561</v>
      </c>
    </row>
    <row r="9" spans="2:18" ht="25" customHeight="1">
      <c r="B9" s="1" t="s">
        <v>90</v>
      </c>
      <c r="D9" s="1" t="s">
        <v>87</v>
      </c>
      <c r="E9" s="1" t="s">
        <v>88</v>
      </c>
      <c r="F9" s="1" t="s">
        <v>89</v>
      </c>
      <c r="G9" s="1" t="s">
        <v>86</v>
      </c>
      <c r="I9" s="50">
        <v>44561</v>
      </c>
    </row>
    <row r="10" spans="2:18" ht="25" customHeight="1">
      <c r="B10" s="1" t="s">
        <v>90</v>
      </c>
      <c r="D10" s="1" t="s">
        <v>87</v>
      </c>
      <c r="E10" s="1" t="s">
        <v>88</v>
      </c>
      <c r="F10" s="1" t="s">
        <v>89</v>
      </c>
      <c r="G10" s="1" t="s">
        <v>86</v>
      </c>
      <c r="I10" s="50">
        <v>44561</v>
      </c>
    </row>
    <row r="11" spans="2:18" ht="25" customHeight="1">
      <c r="B11" s="1" t="s">
        <v>90</v>
      </c>
      <c r="D11" s="1" t="s">
        <v>87</v>
      </c>
      <c r="E11" s="1" t="s">
        <v>88</v>
      </c>
      <c r="F11" s="1" t="s">
        <v>89</v>
      </c>
      <c r="G11" s="1" t="s">
        <v>86</v>
      </c>
      <c r="I11" s="50">
        <v>44561</v>
      </c>
    </row>
    <row r="12" spans="2:18" ht="25" customHeight="1">
      <c r="B12" s="1" t="s">
        <v>90</v>
      </c>
      <c r="D12" s="1" t="s">
        <v>87</v>
      </c>
      <c r="E12" s="1" t="s">
        <v>88</v>
      </c>
      <c r="F12" s="1" t="s">
        <v>89</v>
      </c>
      <c r="G12" s="1" t="s">
        <v>86</v>
      </c>
      <c r="I12" s="50">
        <v>44561</v>
      </c>
    </row>
    <row r="14" spans="2:18" ht="25" customHeight="1">
      <c r="B14" s="55" t="s">
        <v>84</v>
      </c>
      <c r="C14" s="55"/>
      <c r="D14" s="69" t="s">
        <v>92</v>
      </c>
      <c r="E14" s="7"/>
      <c r="F14" s="7"/>
      <c r="G14" s="7"/>
      <c r="H14" s="7"/>
      <c r="I14" s="7"/>
    </row>
    <row r="15" spans="2:18" ht="25" customHeight="1">
      <c r="B15" s="2"/>
      <c r="C15" s="2"/>
      <c r="D15" s="3"/>
      <c r="E15" s="3"/>
      <c r="F15" s="3"/>
      <c r="G15" s="3"/>
      <c r="H15" s="3"/>
      <c r="I15" s="3"/>
    </row>
    <row r="16" spans="2:18" ht="25" customHeight="1">
      <c r="B16" s="8" t="s">
        <v>72</v>
      </c>
      <c r="C16" s="8"/>
      <c r="D16" s="8" t="s">
        <v>56</v>
      </c>
      <c r="E16" s="8" t="s">
        <v>81</v>
      </c>
      <c r="F16" s="8" t="s">
        <v>82</v>
      </c>
      <c r="G16" s="8" t="s">
        <v>83</v>
      </c>
      <c r="H16" s="8"/>
      <c r="I16" s="8" t="s">
        <v>91</v>
      </c>
    </row>
    <row r="17" spans="2:9" ht="25" customHeight="1">
      <c r="B17" s="1" t="s">
        <v>90</v>
      </c>
      <c r="D17" s="1" t="s">
        <v>87</v>
      </c>
      <c r="E17" s="1" t="s">
        <v>88</v>
      </c>
      <c r="F17" s="1" t="s">
        <v>89</v>
      </c>
      <c r="G17" s="1" t="s">
        <v>86</v>
      </c>
      <c r="I17" s="50">
        <v>44561</v>
      </c>
    </row>
    <row r="18" spans="2:9" ht="25" customHeight="1">
      <c r="B18" s="1" t="s">
        <v>90</v>
      </c>
      <c r="D18" s="1" t="s">
        <v>87</v>
      </c>
      <c r="E18" s="1" t="s">
        <v>88</v>
      </c>
      <c r="F18" s="1" t="s">
        <v>89</v>
      </c>
      <c r="G18" s="1" t="s">
        <v>86</v>
      </c>
      <c r="I18" s="50">
        <v>44561</v>
      </c>
    </row>
    <row r="19" spans="2:9" ht="25" customHeight="1">
      <c r="B19" s="1" t="s">
        <v>90</v>
      </c>
      <c r="D19" s="1" t="s">
        <v>87</v>
      </c>
      <c r="E19" s="1" t="s">
        <v>88</v>
      </c>
      <c r="F19" s="1" t="s">
        <v>89</v>
      </c>
      <c r="G19" s="1" t="s">
        <v>86</v>
      </c>
      <c r="I19" s="50">
        <v>44561</v>
      </c>
    </row>
    <row r="20" spans="2:9" ht="25" customHeight="1">
      <c r="B20" s="1" t="s">
        <v>90</v>
      </c>
      <c r="D20" s="1" t="s">
        <v>87</v>
      </c>
      <c r="E20" s="1" t="s">
        <v>88</v>
      </c>
      <c r="F20" s="1" t="s">
        <v>89</v>
      </c>
      <c r="G20" s="1" t="s">
        <v>86</v>
      </c>
      <c r="I20" s="50">
        <v>44561</v>
      </c>
    </row>
    <row r="21" spans="2:9" ht="25" customHeight="1">
      <c r="B21" s="1" t="s">
        <v>90</v>
      </c>
      <c r="D21" s="1" t="s">
        <v>87</v>
      </c>
      <c r="E21" s="1" t="s">
        <v>88</v>
      </c>
      <c r="F21" s="1" t="s">
        <v>89</v>
      </c>
      <c r="G21" s="1" t="s">
        <v>86</v>
      </c>
      <c r="I21" s="50">
        <v>44561</v>
      </c>
    </row>
    <row r="22" spans="2:9" ht="25" customHeight="1">
      <c r="B22" s="1" t="s">
        <v>90</v>
      </c>
      <c r="D22" s="1" t="s">
        <v>87</v>
      </c>
      <c r="E22" s="1" t="s">
        <v>88</v>
      </c>
      <c r="F22" s="1" t="s">
        <v>89</v>
      </c>
      <c r="G22" s="1" t="s">
        <v>86</v>
      </c>
      <c r="I22" s="50">
        <v>44561</v>
      </c>
    </row>
    <row r="24" spans="2:9" ht="25" customHeight="1">
      <c r="B24" s="55" t="s">
        <v>84</v>
      </c>
      <c r="C24" s="55"/>
      <c r="D24" s="69" t="s">
        <v>93</v>
      </c>
      <c r="E24" s="7"/>
      <c r="F24" s="7"/>
      <c r="G24" s="7"/>
      <c r="H24" s="7"/>
      <c r="I24" s="7"/>
    </row>
    <row r="25" spans="2:9" ht="25" customHeight="1">
      <c r="B25" s="2"/>
      <c r="C25" s="2"/>
      <c r="D25" s="3"/>
      <c r="E25" s="3"/>
      <c r="F25" s="3"/>
      <c r="G25" s="3"/>
      <c r="H25" s="3"/>
      <c r="I25" s="3"/>
    </row>
    <row r="26" spans="2:9" ht="25" customHeight="1">
      <c r="B26" s="8" t="s">
        <v>72</v>
      </c>
      <c r="C26" s="8"/>
      <c r="D26" s="8" t="s">
        <v>56</v>
      </c>
      <c r="E26" s="8" t="s">
        <v>81</v>
      </c>
      <c r="F26" s="8" t="s">
        <v>82</v>
      </c>
      <c r="G26" s="8" t="s">
        <v>83</v>
      </c>
      <c r="H26" s="8"/>
      <c r="I26" s="8" t="s">
        <v>91</v>
      </c>
    </row>
    <row r="27" spans="2:9" ht="25" customHeight="1">
      <c r="B27" s="1" t="s">
        <v>90</v>
      </c>
      <c r="D27" s="1" t="s">
        <v>87</v>
      </c>
      <c r="E27" s="1" t="s">
        <v>88</v>
      </c>
      <c r="F27" s="1" t="s">
        <v>89</v>
      </c>
      <c r="G27" s="1" t="s">
        <v>86</v>
      </c>
      <c r="I27" s="50">
        <v>44561</v>
      </c>
    </row>
    <row r="28" spans="2:9" ht="25" customHeight="1">
      <c r="B28" s="1" t="s">
        <v>90</v>
      </c>
      <c r="D28" s="1" t="s">
        <v>87</v>
      </c>
      <c r="E28" s="1" t="s">
        <v>88</v>
      </c>
      <c r="F28" s="1" t="s">
        <v>89</v>
      </c>
      <c r="G28" s="1" t="s">
        <v>86</v>
      </c>
      <c r="I28" s="50">
        <v>44561</v>
      </c>
    </row>
    <row r="29" spans="2:9" ht="25" customHeight="1">
      <c r="B29" s="1" t="s">
        <v>90</v>
      </c>
      <c r="D29" s="1" t="s">
        <v>87</v>
      </c>
      <c r="E29" s="1" t="s">
        <v>88</v>
      </c>
      <c r="F29" s="1" t="s">
        <v>89</v>
      </c>
      <c r="G29" s="1" t="s">
        <v>86</v>
      </c>
      <c r="I29" s="50">
        <v>44561</v>
      </c>
    </row>
    <row r="30" spans="2:9" ht="25" customHeight="1">
      <c r="B30" s="1" t="s">
        <v>90</v>
      </c>
      <c r="D30" s="1" t="s">
        <v>87</v>
      </c>
      <c r="E30" s="1" t="s">
        <v>88</v>
      </c>
      <c r="F30" s="1" t="s">
        <v>89</v>
      </c>
      <c r="G30" s="1" t="s">
        <v>86</v>
      </c>
      <c r="I30" s="50">
        <v>44561</v>
      </c>
    </row>
    <row r="31" spans="2:9" ht="25" customHeight="1">
      <c r="B31" s="1" t="s">
        <v>90</v>
      </c>
      <c r="D31" s="1" t="s">
        <v>87</v>
      </c>
      <c r="E31" s="1" t="s">
        <v>88</v>
      </c>
      <c r="F31" s="1" t="s">
        <v>89</v>
      </c>
      <c r="G31" s="1" t="s">
        <v>86</v>
      </c>
      <c r="I31" s="50">
        <v>44561</v>
      </c>
    </row>
    <row r="32" spans="2:9" ht="25" customHeight="1">
      <c r="B32" s="1" t="s">
        <v>90</v>
      </c>
      <c r="D32" s="1" t="s">
        <v>87</v>
      </c>
      <c r="E32" s="1" t="s">
        <v>88</v>
      </c>
      <c r="F32" s="1" t="s">
        <v>89</v>
      </c>
      <c r="G32" s="1" t="s">
        <v>86</v>
      </c>
      <c r="I32" s="50">
        <v>44561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FB61F-776C-AA49-B60C-B29E48F18005}">
  <dimension ref="B2:Q23"/>
  <sheetViews>
    <sheetView workbookViewId="0">
      <selection activeCell="C19" sqref="C19"/>
    </sheetView>
  </sheetViews>
  <sheetFormatPr baseColWidth="10" defaultRowHeight="25" customHeight="1"/>
  <cols>
    <col min="1" max="1" width="10.83203125" style="1"/>
    <col min="2" max="2" width="21.5" style="1" customWidth="1"/>
    <col min="3" max="3" width="42.83203125" style="1" bestFit="1" customWidth="1"/>
    <col min="4" max="4" width="67.33203125" style="1" bestFit="1" customWidth="1"/>
    <col min="5" max="5" width="15.83203125" style="1" bestFit="1" customWidth="1"/>
    <col min="6" max="6" width="11.6640625" style="1" bestFit="1" customWidth="1"/>
    <col min="7" max="7" width="19.5" style="1" bestFit="1" customWidth="1"/>
    <col min="8" max="8" width="21" style="1" bestFit="1" customWidth="1"/>
    <col min="9" max="9" width="19.5" style="1" customWidth="1"/>
    <col min="10" max="10" width="23.1640625" style="1" bestFit="1" customWidth="1"/>
    <col min="11" max="11" width="20" style="1" bestFit="1" customWidth="1"/>
    <col min="12" max="12" width="28" style="1" customWidth="1"/>
    <col min="13" max="13" width="23" style="1" bestFit="1" customWidth="1"/>
    <col min="14" max="14" width="22.5" style="1" bestFit="1" customWidth="1"/>
    <col min="15" max="15" width="28" style="1" bestFit="1" customWidth="1"/>
    <col min="16" max="16" width="17" style="1" bestFit="1" customWidth="1"/>
    <col min="17" max="16384" width="10.83203125" style="1"/>
  </cols>
  <sheetData>
    <row r="2" spans="2:17" ht="25" customHeight="1">
      <c r="B2" s="13" t="s">
        <v>119</v>
      </c>
    </row>
    <row r="3" spans="2:17" ht="25" customHeight="1">
      <c r="B3" s="13"/>
    </row>
    <row r="4" spans="2:17" ht="25" customHeight="1">
      <c r="B4" s="55" t="s">
        <v>120</v>
      </c>
      <c r="C4" s="69" t="s">
        <v>9</v>
      </c>
      <c r="D4" s="7"/>
      <c r="E4" s="38"/>
      <c r="F4" s="38"/>
      <c r="G4" s="38"/>
      <c r="H4" s="38"/>
      <c r="I4" s="3"/>
      <c r="J4" s="3"/>
      <c r="K4" s="3"/>
      <c r="L4" s="3"/>
      <c r="M4" s="3"/>
      <c r="N4" s="3"/>
      <c r="O4" s="3"/>
      <c r="P4" s="3"/>
    </row>
    <row r="5" spans="2:17" ht="25" customHeight="1"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2:17" ht="25" customHeight="1">
      <c r="B6" s="8" t="s">
        <v>121</v>
      </c>
      <c r="C6" s="8" t="s">
        <v>56</v>
      </c>
      <c r="D6" s="8" t="s">
        <v>122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2:17" ht="25" customHeight="1">
      <c r="B7" s="1" t="s">
        <v>125</v>
      </c>
      <c r="C7" s="1" t="s">
        <v>123</v>
      </c>
      <c r="D7" s="1" t="s">
        <v>124</v>
      </c>
      <c r="H7" s="50"/>
    </row>
    <row r="8" spans="2:17" ht="25" customHeight="1">
      <c r="B8" s="1" t="s">
        <v>125</v>
      </c>
      <c r="C8" s="1" t="s">
        <v>123</v>
      </c>
      <c r="D8" s="1" t="s">
        <v>124</v>
      </c>
      <c r="H8" s="50"/>
    </row>
    <row r="9" spans="2:17" ht="25" customHeight="1">
      <c r="B9" s="1" t="s">
        <v>125</v>
      </c>
      <c r="C9" s="1" t="s">
        <v>123</v>
      </c>
      <c r="D9" s="1" t="s">
        <v>124</v>
      </c>
      <c r="H9" s="50"/>
    </row>
    <row r="11" spans="2:17" ht="25" customHeight="1">
      <c r="B11" s="55" t="s">
        <v>120</v>
      </c>
      <c r="C11" s="69" t="s">
        <v>8</v>
      </c>
      <c r="D11" s="7"/>
    </row>
    <row r="12" spans="2:17" ht="25" customHeight="1">
      <c r="B12" s="2"/>
      <c r="C12" s="3"/>
      <c r="D12" s="3"/>
    </row>
    <row r="13" spans="2:17" ht="25" customHeight="1">
      <c r="B13" s="8" t="s">
        <v>121</v>
      </c>
      <c r="C13" s="8" t="s">
        <v>56</v>
      </c>
      <c r="D13" s="8" t="s">
        <v>122</v>
      </c>
    </row>
    <row r="14" spans="2:17" ht="25" customHeight="1">
      <c r="B14" s="1" t="s">
        <v>125</v>
      </c>
      <c r="C14" s="1" t="s">
        <v>123</v>
      </c>
      <c r="D14" s="1" t="s">
        <v>124</v>
      </c>
    </row>
    <row r="15" spans="2:17" ht="25" customHeight="1">
      <c r="B15" s="1" t="s">
        <v>125</v>
      </c>
      <c r="C15" s="1" t="s">
        <v>123</v>
      </c>
      <c r="D15" s="1" t="s">
        <v>124</v>
      </c>
    </row>
    <row r="16" spans="2:17" ht="25" customHeight="1">
      <c r="B16" s="1" t="s">
        <v>125</v>
      </c>
      <c r="C16" s="1" t="s">
        <v>123</v>
      </c>
      <c r="D16" s="1" t="s">
        <v>124</v>
      </c>
    </row>
    <row r="18" spans="2:4" ht="25" customHeight="1">
      <c r="B18" s="95" t="s">
        <v>120</v>
      </c>
      <c r="C18" s="96" t="s">
        <v>27</v>
      </c>
      <c r="D18" s="97"/>
    </row>
    <row r="19" spans="2:4" ht="25" customHeight="1">
      <c r="B19" s="98"/>
      <c r="C19" s="99"/>
      <c r="D19" s="99"/>
    </row>
    <row r="20" spans="2:4" ht="25" customHeight="1">
      <c r="B20" s="100" t="s">
        <v>121</v>
      </c>
      <c r="C20" s="100" t="s">
        <v>56</v>
      </c>
      <c r="D20" s="100" t="s">
        <v>122</v>
      </c>
    </row>
    <row r="21" spans="2:4" ht="25" customHeight="1">
      <c r="B21" s="101" t="s">
        <v>125</v>
      </c>
      <c r="C21" s="101" t="s">
        <v>123</v>
      </c>
      <c r="D21" s="101" t="s">
        <v>124</v>
      </c>
    </row>
    <row r="22" spans="2:4" ht="25" customHeight="1">
      <c r="B22" s="101" t="s">
        <v>125</v>
      </c>
      <c r="C22" s="101" t="s">
        <v>123</v>
      </c>
      <c r="D22" s="101" t="s">
        <v>124</v>
      </c>
    </row>
    <row r="23" spans="2:4" ht="25" customHeight="1">
      <c r="B23" s="101" t="s">
        <v>125</v>
      </c>
      <c r="C23" s="101" t="s">
        <v>123</v>
      </c>
      <c r="D23" s="101" t="s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E0B56-CED6-4047-9A28-B65190AA16DE}">
  <dimension ref="B2:R58"/>
  <sheetViews>
    <sheetView topLeftCell="A19" workbookViewId="0">
      <selection activeCell="F21" sqref="F21"/>
    </sheetView>
  </sheetViews>
  <sheetFormatPr baseColWidth="10" defaultRowHeight="25" customHeight="1"/>
  <cols>
    <col min="1" max="1" width="10.83203125" style="1"/>
    <col min="2" max="3" width="3.1640625" style="1" customWidth="1"/>
    <col min="4" max="4" width="27" style="1" bestFit="1" customWidth="1"/>
    <col min="5" max="5" width="8.33203125" style="1" bestFit="1" customWidth="1"/>
    <col min="6" max="16384" width="10.83203125" style="1"/>
  </cols>
  <sheetData>
    <row r="2" spans="2:18" ht="25" customHeight="1">
      <c r="B2" s="13" t="s">
        <v>64</v>
      </c>
    </row>
    <row r="3" spans="2:18" ht="25" customHeight="1">
      <c r="B3" s="58" t="s">
        <v>117</v>
      </c>
    </row>
    <row r="4" spans="2:18" ht="16" customHeight="1">
      <c r="B4" s="58"/>
    </row>
    <row r="5" spans="2:18" s="39" customFormat="1" ht="25" customHeight="1">
      <c r="B5" s="6"/>
      <c r="C5" s="6"/>
      <c r="D5" s="6"/>
      <c r="E5" s="7" t="s">
        <v>12</v>
      </c>
      <c r="F5" s="7" t="s">
        <v>15</v>
      </c>
      <c r="G5" s="7" t="s">
        <v>16</v>
      </c>
      <c r="H5" s="7" t="s">
        <v>17</v>
      </c>
      <c r="I5" s="7" t="s">
        <v>18</v>
      </c>
      <c r="J5" s="7" t="s">
        <v>19</v>
      </c>
      <c r="K5" s="7" t="s">
        <v>20</v>
      </c>
      <c r="L5" s="7" t="s">
        <v>21</v>
      </c>
      <c r="M5" s="7" t="s">
        <v>22</v>
      </c>
      <c r="N5" s="7" t="s">
        <v>23</v>
      </c>
      <c r="O5" s="7" t="s">
        <v>24</v>
      </c>
      <c r="P5" s="7" t="s">
        <v>25</v>
      </c>
      <c r="Q5" s="7" t="s">
        <v>26</v>
      </c>
      <c r="R5" s="7" t="s">
        <v>28</v>
      </c>
    </row>
    <row r="6" spans="2:18" ht="25" customHeight="1">
      <c r="B6" s="8" t="s">
        <v>9</v>
      </c>
      <c r="C6" s="8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9"/>
    </row>
    <row r="7" spans="2:18" ht="25" customHeight="1">
      <c r="C7" s="1" t="s">
        <v>5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2:18" ht="25" customHeight="1">
      <c r="D8" s="1" t="s">
        <v>10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2</v>
      </c>
      <c r="K8" s="5">
        <v>2</v>
      </c>
      <c r="L8" s="5">
        <v>3</v>
      </c>
      <c r="M8" s="5">
        <v>3</v>
      </c>
      <c r="N8" s="5">
        <v>3</v>
      </c>
      <c r="O8" s="5">
        <v>3</v>
      </c>
      <c r="P8" s="5">
        <v>3</v>
      </c>
      <c r="Q8" s="5">
        <v>3</v>
      </c>
      <c r="R8" s="1">
        <f>Q8-E8</f>
        <v>2</v>
      </c>
    </row>
    <row r="9" spans="2:18" ht="25" customHeight="1">
      <c r="D9" s="1" t="s">
        <v>65</v>
      </c>
      <c r="E9" s="4"/>
      <c r="F9" s="11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2:18" ht="25" customHeight="1">
      <c r="D10" s="1" t="s">
        <v>11</v>
      </c>
      <c r="E10" s="4"/>
      <c r="F10" s="4">
        <f>F8-(E8-F9)</f>
        <v>0</v>
      </c>
      <c r="G10" s="4">
        <f t="shared" ref="G10:Q10" si="0">G8-(F8-G9)</f>
        <v>0</v>
      </c>
      <c r="H10" s="4">
        <f t="shared" si="0"/>
        <v>0</v>
      </c>
      <c r="I10" s="4">
        <f t="shared" si="0"/>
        <v>0</v>
      </c>
      <c r="J10" s="4">
        <f t="shared" si="0"/>
        <v>1</v>
      </c>
      <c r="K10" s="4">
        <f t="shared" si="0"/>
        <v>0</v>
      </c>
      <c r="L10" s="4">
        <f t="shared" si="0"/>
        <v>1</v>
      </c>
      <c r="M10" s="4">
        <f t="shared" si="0"/>
        <v>0</v>
      </c>
      <c r="N10" s="4">
        <f t="shared" si="0"/>
        <v>0</v>
      </c>
      <c r="O10" s="4">
        <f t="shared" si="0"/>
        <v>0</v>
      </c>
      <c r="P10" s="4">
        <f t="shared" si="0"/>
        <v>0</v>
      </c>
      <c r="Q10" s="4">
        <f t="shared" si="0"/>
        <v>0</v>
      </c>
    </row>
    <row r="11" spans="2:18" ht="25" customHeight="1">
      <c r="C11" s="1" t="s">
        <v>6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2:18" ht="25" customHeight="1">
      <c r="D12" s="1" t="s">
        <v>10</v>
      </c>
      <c r="E12" s="5">
        <v>4</v>
      </c>
      <c r="F12" s="5">
        <v>4</v>
      </c>
      <c r="G12" s="5">
        <v>4</v>
      </c>
      <c r="H12" s="5">
        <v>4</v>
      </c>
      <c r="I12" s="5">
        <v>4</v>
      </c>
      <c r="J12" s="5">
        <v>4</v>
      </c>
      <c r="K12" s="5">
        <v>4</v>
      </c>
      <c r="L12" s="5">
        <v>4</v>
      </c>
      <c r="M12" s="5">
        <v>4</v>
      </c>
      <c r="N12" s="5">
        <v>4</v>
      </c>
      <c r="O12" s="5">
        <v>4</v>
      </c>
      <c r="P12" s="5">
        <v>4</v>
      </c>
      <c r="Q12" s="5">
        <v>4</v>
      </c>
      <c r="R12" s="1">
        <f>Q12-E12</f>
        <v>0</v>
      </c>
    </row>
    <row r="13" spans="2:18" ht="25" customHeight="1">
      <c r="D13" s="1" t="s">
        <v>65</v>
      </c>
      <c r="E13" s="4"/>
      <c r="F13" s="11"/>
      <c r="G13" s="5"/>
      <c r="H13" s="5"/>
      <c r="I13" s="5"/>
      <c r="J13" s="5"/>
      <c r="K13" s="5"/>
      <c r="L13" s="5"/>
      <c r="M13" s="5">
        <v>1</v>
      </c>
      <c r="N13" s="5"/>
      <c r="O13" s="5"/>
      <c r="P13" s="5"/>
      <c r="Q13" s="5"/>
    </row>
    <row r="14" spans="2:18" ht="25" customHeight="1">
      <c r="D14" s="1" t="s">
        <v>11</v>
      </c>
      <c r="E14" s="4"/>
      <c r="F14" s="4">
        <f>F12-(E12-F13)</f>
        <v>0</v>
      </c>
      <c r="G14" s="4">
        <f t="shared" ref="G14" si="1">G12-(F12-G13)</f>
        <v>0</v>
      </c>
      <c r="H14" s="4">
        <f t="shared" ref="H14" si="2">H12-(G12-H13)</f>
        <v>0</v>
      </c>
      <c r="I14" s="4">
        <f t="shared" ref="I14" si="3">I12-(H12-I13)</f>
        <v>0</v>
      </c>
      <c r="J14" s="4">
        <f t="shared" ref="J14" si="4">J12-(I12-J13)</f>
        <v>0</v>
      </c>
      <c r="K14" s="4">
        <f t="shared" ref="K14" si="5">K12-(J12-K13)</f>
        <v>0</v>
      </c>
      <c r="L14" s="4">
        <f t="shared" ref="L14" si="6">L12-(K12-L13)</f>
        <v>0</v>
      </c>
      <c r="M14" s="4">
        <f t="shared" ref="M14" si="7">M12-(L12-M13)</f>
        <v>1</v>
      </c>
      <c r="N14" s="4">
        <f t="shared" ref="N14" si="8">N12-(M12-N13)</f>
        <v>0</v>
      </c>
      <c r="O14" s="4">
        <f t="shared" ref="O14" si="9">O12-(N12-O13)</f>
        <v>0</v>
      </c>
      <c r="P14" s="4">
        <f t="shared" ref="P14" si="10">P12-(O12-P13)</f>
        <v>0</v>
      </c>
      <c r="Q14" s="4">
        <f t="shared" ref="Q14" si="11">Q12-(P12-Q13)</f>
        <v>0</v>
      </c>
    </row>
    <row r="15" spans="2:18" ht="25" customHeight="1">
      <c r="C15" s="1" t="s">
        <v>7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2:18" ht="25" customHeight="1">
      <c r="D16" s="1" t="s">
        <v>10</v>
      </c>
      <c r="E16" s="5">
        <v>3</v>
      </c>
      <c r="F16" s="5">
        <v>4</v>
      </c>
      <c r="G16" s="5">
        <v>5</v>
      </c>
      <c r="H16" s="5">
        <v>6</v>
      </c>
      <c r="I16" s="5">
        <v>6</v>
      </c>
      <c r="J16" s="5">
        <v>6</v>
      </c>
      <c r="K16" s="5">
        <v>6</v>
      </c>
      <c r="L16" s="5">
        <v>6</v>
      </c>
      <c r="M16" s="5">
        <v>6</v>
      </c>
      <c r="N16" s="5">
        <v>6</v>
      </c>
      <c r="O16" s="5">
        <v>6</v>
      </c>
      <c r="P16" s="5">
        <v>6</v>
      </c>
      <c r="Q16" s="5">
        <v>6</v>
      </c>
      <c r="R16" s="1">
        <f>Q16-E16</f>
        <v>3</v>
      </c>
    </row>
    <row r="17" spans="2:18" ht="25" customHeight="1">
      <c r="D17" s="1" t="s">
        <v>65</v>
      </c>
      <c r="E17" s="4"/>
      <c r="F17" s="11"/>
      <c r="G17" s="5"/>
      <c r="H17" s="5"/>
      <c r="I17" s="5"/>
      <c r="J17" s="5"/>
      <c r="K17" s="5">
        <v>1</v>
      </c>
      <c r="L17" s="5"/>
      <c r="M17" s="5"/>
      <c r="N17" s="5"/>
      <c r="O17" s="5"/>
      <c r="P17" s="5"/>
      <c r="Q17" s="5"/>
    </row>
    <row r="18" spans="2:18" ht="25" customHeight="1">
      <c r="D18" s="1" t="s">
        <v>11</v>
      </c>
      <c r="E18" s="4"/>
      <c r="F18" s="4">
        <f>F16-(E16-F17)</f>
        <v>1</v>
      </c>
      <c r="G18" s="4">
        <f t="shared" ref="G18" si="12">G16-(F16-G17)</f>
        <v>1</v>
      </c>
      <c r="H18" s="4">
        <f t="shared" ref="H18" si="13">H16-(G16-H17)</f>
        <v>1</v>
      </c>
      <c r="I18" s="4">
        <f t="shared" ref="I18" si="14">I16-(H16-I17)</f>
        <v>0</v>
      </c>
      <c r="J18" s="4">
        <f t="shared" ref="J18" si="15">J16-(I16-J17)</f>
        <v>0</v>
      </c>
      <c r="K18" s="4">
        <f t="shared" ref="K18" si="16">K16-(J16-K17)</f>
        <v>1</v>
      </c>
      <c r="L18" s="4">
        <f t="shared" ref="L18" si="17">L16-(K16-L17)</f>
        <v>0</v>
      </c>
      <c r="M18" s="4">
        <f t="shared" ref="M18" si="18">M16-(L16-M17)</f>
        <v>0</v>
      </c>
      <c r="N18" s="4">
        <f t="shared" ref="N18" si="19">N16-(M16-N17)</f>
        <v>0</v>
      </c>
      <c r="O18" s="4">
        <f t="shared" ref="O18" si="20">O16-(N16-O17)</f>
        <v>0</v>
      </c>
      <c r="P18" s="4">
        <f t="shared" ref="P18" si="21">P16-(O16-P17)</f>
        <v>0</v>
      </c>
      <c r="Q18" s="4">
        <f t="shared" ref="Q18" si="22">Q16-(P16-Q17)</f>
        <v>0</v>
      </c>
    </row>
    <row r="19" spans="2:18" ht="25" customHeight="1"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2:18" ht="25" customHeight="1">
      <c r="B20" s="86" t="s">
        <v>13</v>
      </c>
      <c r="C20" s="87"/>
      <c r="D20" s="87"/>
      <c r="E20" s="88">
        <f>E8+E12+E16</f>
        <v>8</v>
      </c>
      <c r="F20" s="88">
        <f t="shared" ref="F20:Q20" si="23">F8+F12+F16</f>
        <v>9</v>
      </c>
      <c r="G20" s="88">
        <f t="shared" si="23"/>
        <v>10</v>
      </c>
      <c r="H20" s="88">
        <f t="shared" si="23"/>
        <v>11</v>
      </c>
      <c r="I20" s="88">
        <f t="shared" si="23"/>
        <v>11</v>
      </c>
      <c r="J20" s="88">
        <f t="shared" si="23"/>
        <v>12</v>
      </c>
      <c r="K20" s="88">
        <f t="shared" si="23"/>
        <v>12</v>
      </c>
      <c r="L20" s="88">
        <f t="shared" si="23"/>
        <v>13</v>
      </c>
      <c r="M20" s="88">
        <f t="shared" si="23"/>
        <v>13</v>
      </c>
      <c r="N20" s="88">
        <f t="shared" si="23"/>
        <v>13</v>
      </c>
      <c r="O20" s="88">
        <f t="shared" si="23"/>
        <v>13</v>
      </c>
      <c r="P20" s="88">
        <f t="shared" si="23"/>
        <v>13</v>
      </c>
      <c r="Q20" s="88">
        <f t="shared" si="23"/>
        <v>13</v>
      </c>
    </row>
    <row r="21" spans="2:18" ht="25" customHeight="1">
      <c r="B21" s="86" t="s">
        <v>14</v>
      </c>
      <c r="C21" s="86"/>
      <c r="D21" s="86"/>
      <c r="E21" s="89"/>
      <c r="F21" s="89">
        <f>F20-E20</f>
        <v>1</v>
      </c>
      <c r="G21" s="89">
        <f t="shared" ref="G21:Q21" si="24">G20-F20</f>
        <v>1</v>
      </c>
      <c r="H21" s="89">
        <f t="shared" si="24"/>
        <v>1</v>
      </c>
      <c r="I21" s="89">
        <f t="shared" si="24"/>
        <v>0</v>
      </c>
      <c r="J21" s="89">
        <f t="shared" si="24"/>
        <v>1</v>
      </c>
      <c r="K21" s="89">
        <f t="shared" si="24"/>
        <v>0</v>
      </c>
      <c r="L21" s="89">
        <f t="shared" si="24"/>
        <v>1</v>
      </c>
      <c r="M21" s="89">
        <f t="shared" si="24"/>
        <v>0</v>
      </c>
      <c r="N21" s="89">
        <f t="shared" si="24"/>
        <v>0</v>
      </c>
      <c r="O21" s="89">
        <f t="shared" si="24"/>
        <v>0</v>
      </c>
      <c r="P21" s="89">
        <f t="shared" si="24"/>
        <v>0</v>
      </c>
      <c r="Q21" s="89">
        <f t="shared" si="24"/>
        <v>0</v>
      </c>
    </row>
    <row r="22" spans="2:18" ht="25" customHeight="1">
      <c r="B22" s="86" t="s">
        <v>29</v>
      </c>
      <c r="C22" s="86"/>
      <c r="D22" s="86"/>
      <c r="E22" s="86"/>
      <c r="F22" s="86">
        <f>F10+F14+F18</f>
        <v>1</v>
      </c>
      <c r="G22" s="86">
        <f t="shared" ref="G22:Q22" si="25">G10+G14+G18</f>
        <v>1</v>
      </c>
      <c r="H22" s="86">
        <f t="shared" si="25"/>
        <v>1</v>
      </c>
      <c r="I22" s="86">
        <f t="shared" si="25"/>
        <v>0</v>
      </c>
      <c r="J22" s="86">
        <f t="shared" si="25"/>
        <v>1</v>
      </c>
      <c r="K22" s="86">
        <f t="shared" si="25"/>
        <v>1</v>
      </c>
      <c r="L22" s="86">
        <f t="shared" si="25"/>
        <v>1</v>
      </c>
      <c r="M22" s="86">
        <f t="shared" si="25"/>
        <v>1</v>
      </c>
      <c r="N22" s="86">
        <f t="shared" si="25"/>
        <v>0</v>
      </c>
      <c r="O22" s="86">
        <f t="shared" si="25"/>
        <v>0</v>
      </c>
      <c r="P22" s="86">
        <f t="shared" si="25"/>
        <v>0</v>
      </c>
      <c r="Q22" s="86">
        <f t="shared" si="25"/>
        <v>0</v>
      </c>
    </row>
    <row r="23" spans="2:18" ht="25" customHeight="1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2:18" ht="25" customHeight="1">
      <c r="B24" s="8" t="s">
        <v>8</v>
      </c>
      <c r="C24" s="8"/>
      <c r="D24" s="92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</row>
    <row r="25" spans="2:18" ht="25" customHeight="1">
      <c r="C25" s="1" t="s">
        <v>5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2:18" ht="25" customHeight="1">
      <c r="D26" s="1" t="s">
        <v>10</v>
      </c>
      <c r="E26" s="5">
        <v>8</v>
      </c>
      <c r="F26" s="5">
        <v>8</v>
      </c>
      <c r="G26" s="5">
        <v>8</v>
      </c>
      <c r="H26" s="5">
        <v>8</v>
      </c>
      <c r="I26" s="5">
        <v>8</v>
      </c>
      <c r="J26" s="5">
        <v>8</v>
      </c>
      <c r="K26" s="5">
        <v>8</v>
      </c>
      <c r="L26" s="5">
        <v>8</v>
      </c>
      <c r="M26" s="5">
        <v>8</v>
      </c>
      <c r="N26" s="5">
        <v>8</v>
      </c>
      <c r="O26" s="5">
        <v>8</v>
      </c>
      <c r="P26" s="5">
        <v>8</v>
      </c>
      <c r="Q26" s="5">
        <v>8</v>
      </c>
      <c r="R26" s="1">
        <f>Q26-E26</f>
        <v>0</v>
      </c>
    </row>
    <row r="27" spans="2:18" ht="25" customHeight="1">
      <c r="D27" s="1" t="s">
        <v>65</v>
      </c>
      <c r="E27" s="4"/>
      <c r="F27" s="11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2:18" ht="25" customHeight="1">
      <c r="D28" s="1" t="s">
        <v>11</v>
      </c>
      <c r="E28" s="4"/>
      <c r="F28" s="4">
        <f>F26-(E26-F27)</f>
        <v>0</v>
      </c>
      <c r="G28" s="4">
        <f t="shared" ref="G28" si="26">G26-(F26-G27)</f>
        <v>0</v>
      </c>
      <c r="H28" s="4">
        <f t="shared" ref="H28" si="27">H26-(G26-H27)</f>
        <v>0</v>
      </c>
      <c r="I28" s="4">
        <f t="shared" ref="I28" si="28">I26-(H26-I27)</f>
        <v>0</v>
      </c>
      <c r="J28" s="4">
        <f t="shared" ref="J28" si="29">J26-(I26-J27)</f>
        <v>0</v>
      </c>
      <c r="K28" s="4">
        <f t="shared" ref="K28" si="30">K26-(J26-K27)</f>
        <v>0</v>
      </c>
      <c r="L28" s="4">
        <f t="shared" ref="L28" si="31">L26-(K26-L27)</f>
        <v>0</v>
      </c>
      <c r="M28" s="4">
        <f t="shared" ref="M28" si="32">M26-(L26-M27)</f>
        <v>0</v>
      </c>
      <c r="N28" s="4">
        <f t="shared" ref="N28" si="33">N26-(M26-N27)</f>
        <v>0</v>
      </c>
      <c r="O28" s="4">
        <f t="shared" ref="O28" si="34">O26-(N26-O27)</f>
        <v>0</v>
      </c>
      <c r="P28" s="4">
        <f t="shared" ref="P28" si="35">P26-(O26-P27)</f>
        <v>0</v>
      </c>
      <c r="Q28" s="4">
        <f t="shared" ref="Q28" si="36">Q26-(P26-Q27)</f>
        <v>0</v>
      </c>
    </row>
    <row r="29" spans="2:18" ht="25" customHeight="1">
      <c r="C29" s="1" t="s">
        <v>6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2:18" ht="25" customHeight="1">
      <c r="D30" s="1" t="s">
        <v>10</v>
      </c>
      <c r="E30" s="5">
        <v>7</v>
      </c>
      <c r="F30" s="5">
        <v>8</v>
      </c>
      <c r="G30" s="5">
        <v>9</v>
      </c>
      <c r="H30" s="5">
        <v>10</v>
      </c>
      <c r="I30" s="5">
        <v>11</v>
      </c>
      <c r="J30" s="5">
        <v>12</v>
      </c>
      <c r="K30" s="5">
        <v>13</v>
      </c>
      <c r="L30" s="5">
        <v>15</v>
      </c>
      <c r="M30" s="5">
        <v>17</v>
      </c>
      <c r="N30" s="5">
        <v>17</v>
      </c>
      <c r="O30" s="5">
        <v>17</v>
      </c>
      <c r="P30" s="5">
        <v>17</v>
      </c>
      <c r="Q30" s="5">
        <v>17</v>
      </c>
      <c r="R30" s="1">
        <f>Q30-E30</f>
        <v>10</v>
      </c>
    </row>
    <row r="31" spans="2:18" ht="25" customHeight="1">
      <c r="D31" s="1" t="s">
        <v>65</v>
      </c>
      <c r="E31" s="4"/>
      <c r="F31" s="11"/>
      <c r="G31" s="5">
        <v>1</v>
      </c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2:18" ht="25" customHeight="1">
      <c r="D32" s="1" t="s">
        <v>11</v>
      </c>
      <c r="E32" s="4"/>
      <c r="F32" s="4">
        <f>F30-(E30-F31)</f>
        <v>1</v>
      </c>
      <c r="G32" s="4">
        <f t="shared" ref="G32" si="37">G30-(F30-G31)</f>
        <v>2</v>
      </c>
      <c r="H32" s="4">
        <f t="shared" ref="H32" si="38">H30-(G30-H31)</f>
        <v>1</v>
      </c>
      <c r="I32" s="4">
        <f t="shared" ref="I32" si="39">I30-(H30-I31)</f>
        <v>1</v>
      </c>
      <c r="J32" s="4">
        <f t="shared" ref="J32" si="40">J30-(I30-J31)</f>
        <v>1</v>
      </c>
      <c r="K32" s="4">
        <f t="shared" ref="K32" si="41">K30-(J30-K31)</f>
        <v>1</v>
      </c>
      <c r="L32" s="4">
        <f t="shared" ref="L32" si="42">L30-(K30-L31)</f>
        <v>2</v>
      </c>
      <c r="M32" s="4">
        <f t="shared" ref="M32" si="43">M30-(L30-M31)</f>
        <v>2</v>
      </c>
      <c r="N32" s="4">
        <f t="shared" ref="N32" si="44">N30-(M30-N31)</f>
        <v>0</v>
      </c>
      <c r="O32" s="4">
        <f t="shared" ref="O32" si="45">O30-(N30-O31)</f>
        <v>0</v>
      </c>
      <c r="P32" s="4">
        <f t="shared" ref="P32" si="46">P30-(O30-P31)</f>
        <v>0</v>
      </c>
      <c r="Q32" s="4">
        <f t="shared" ref="Q32" si="47">Q30-(P30-Q31)</f>
        <v>0</v>
      </c>
    </row>
    <row r="33" spans="2:18" ht="25" customHeight="1">
      <c r="C33" s="1" t="s">
        <v>7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2:18" ht="25" customHeight="1">
      <c r="D34" s="1" t="s">
        <v>10</v>
      </c>
      <c r="E34" s="5">
        <v>18</v>
      </c>
      <c r="F34" s="5">
        <v>18</v>
      </c>
      <c r="G34" s="5">
        <v>18</v>
      </c>
      <c r="H34" s="5">
        <v>19</v>
      </c>
      <c r="I34" s="5">
        <v>19</v>
      </c>
      <c r="J34" s="5">
        <v>19</v>
      </c>
      <c r="K34" s="5">
        <v>20</v>
      </c>
      <c r="L34" s="5">
        <v>20</v>
      </c>
      <c r="M34" s="5">
        <v>20</v>
      </c>
      <c r="N34" s="5">
        <v>21</v>
      </c>
      <c r="O34" s="5">
        <v>21</v>
      </c>
      <c r="P34" s="5">
        <v>21</v>
      </c>
      <c r="Q34" s="5">
        <v>22</v>
      </c>
      <c r="R34" s="1">
        <f>Q34-E34</f>
        <v>4</v>
      </c>
    </row>
    <row r="35" spans="2:18" ht="25" customHeight="1">
      <c r="D35" s="1" t="s">
        <v>65</v>
      </c>
      <c r="E35" s="4"/>
      <c r="F35" s="11"/>
      <c r="G35" s="5"/>
      <c r="H35" s="5"/>
      <c r="I35" s="5">
        <v>1</v>
      </c>
      <c r="J35" s="5"/>
      <c r="K35" s="5"/>
      <c r="L35" s="5"/>
      <c r="M35" s="5">
        <v>1</v>
      </c>
      <c r="N35" s="5"/>
      <c r="O35" s="5"/>
      <c r="P35" s="5"/>
      <c r="Q35" s="5"/>
    </row>
    <row r="36" spans="2:18" ht="25" customHeight="1">
      <c r="D36" s="1" t="s">
        <v>11</v>
      </c>
      <c r="E36" s="4"/>
      <c r="F36" s="4">
        <f>F34-(E34-F35)</f>
        <v>0</v>
      </c>
      <c r="G36" s="4">
        <f t="shared" ref="G36" si="48">G34-(F34-G35)</f>
        <v>0</v>
      </c>
      <c r="H36" s="4">
        <f t="shared" ref="H36" si="49">H34-(G34-H35)</f>
        <v>1</v>
      </c>
      <c r="I36" s="4">
        <f t="shared" ref="I36" si="50">I34-(H34-I35)</f>
        <v>1</v>
      </c>
      <c r="J36" s="4">
        <f t="shared" ref="J36" si="51">J34-(I34-J35)</f>
        <v>0</v>
      </c>
      <c r="K36" s="4">
        <f t="shared" ref="K36" si="52">K34-(J34-K35)</f>
        <v>1</v>
      </c>
      <c r="L36" s="4">
        <f t="shared" ref="L36" si="53">L34-(K34-L35)</f>
        <v>0</v>
      </c>
      <c r="M36" s="4">
        <f t="shared" ref="M36" si="54">M34-(L34-M35)</f>
        <v>1</v>
      </c>
      <c r="N36" s="4">
        <f t="shared" ref="N36" si="55">N34-(M34-N35)</f>
        <v>1</v>
      </c>
      <c r="O36" s="4">
        <f t="shared" ref="O36" si="56">O34-(N34-O35)</f>
        <v>0</v>
      </c>
      <c r="P36" s="4">
        <f t="shared" ref="P36" si="57">P34-(O34-P35)</f>
        <v>0</v>
      </c>
      <c r="Q36" s="4">
        <f t="shared" ref="Q36" si="58">Q34-(P34-Q35)</f>
        <v>1</v>
      </c>
    </row>
    <row r="37" spans="2:18" ht="25" customHeight="1"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2:18" ht="25" customHeight="1">
      <c r="B38" s="86" t="s">
        <v>13</v>
      </c>
      <c r="C38" s="87"/>
      <c r="D38" s="87"/>
      <c r="E38" s="88">
        <f>E26+E30+E34</f>
        <v>33</v>
      </c>
      <c r="F38" s="88">
        <f t="shared" ref="F38:Q38" si="59">F26+F30+F34</f>
        <v>34</v>
      </c>
      <c r="G38" s="88">
        <f t="shared" si="59"/>
        <v>35</v>
      </c>
      <c r="H38" s="88">
        <f t="shared" si="59"/>
        <v>37</v>
      </c>
      <c r="I38" s="88">
        <f t="shared" si="59"/>
        <v>38</v>
      </c>
      <c r="J38" s="88">
        <f t="shared" si="59"/>
        <v>39</v>
      </c>
      <c r="K38" s="88">
        <f t="shared" si="59"/>
        <v>41</v>
      </c>
      <c r="L38" s="88">
        <f t="shared" si="59"/>
        <v>43</v>
      </c>
      <c r="M38" s="88">
        <f t="shared" si="59"/>
        <v>45</v>
      </c>
      <c r="N38" s="88">
        <f t="shared" si="59"/>
        <v>46</v>
      </c>
      <c r="O38" s="88">
        <f t="shared" si="59"/>
        <v>46</v>
      </c>
      <c r="P38" s="88">
        <f t="shared" si="59"/>
        <v>46</v>
      </c>
      <c r="Q38" s="88">
        <f t="shared" si="59"/>
        <v>47</v>
      </c>
    </row>
    <row r="39" spans="2:18" ht="25" customHeight="1">
      <c r="B39" s="86" t="s">
        <v>14</v>
      </c>
      <c r="C39" s="86"/>
      <c r="D39" s="86"/>
      <c r="E39" s="89"/>
      <c r="F39" s="89">
        <f>F38-E38</f>
        <v>1</v>
      </c>
      <c r="G39" s="89">
        <f t="shared" ref="G39" si="60">G38-F38</f>
        <v>1</v>
      </c>
      <c r="H39" s="89">
        <f t="shared" ref="H39" si="61">H38-G38</f>
        <v>2</v>
      </c>
      <c r="I39" s="89">
        <f t="shared" ref="I39" si="62">I38-H38</f>
        <v>1</v>
      </c>
      <c r="J39" s="89">
        <f t="shared" ref="J39" si="63">J38-I38</f>
        <v>1</v>
      </c>
      <c r="K39" s="89">
        <f t="shared" ref="K39" si="64">K38-J38</f>
        <v>2</v>
      </c>
      <c r="L39" s="89">
        <f t="shared" ref="L39" si="65">L38-K38</f>
        <v>2</v>
      </c>
      <c r="M39" s="89">
        <f t="shared" ref="M39" si="66">M38-L38</f>
        <v>2</v>
      </c>
      <c r="N39" s="89">
        <f t="shared" ref="N39" si="67">N38-M38</f>
        <v>1</v>
      </c>
      <c r="O39" s="89">
        <f t="shared" ref="O39" si="68">O38-N38</f>
        <v>0</v>
      </c>
      <c r="P39" s="89">
        <f t="shared" ref="P39" si="69">P38-O38</f>
        <v>0</v>
      </c>
      <c r="Q39" s="89">
        <f t="shared" ref="Q39" si="70">Q38-P38</f>
        <v>1</v>
      </c>
    </row>
    <row r="40" spans="2:18" ht="25" customHeight="1">
      <c r="B40" s="86" t="s">
        <v>29</v>
      </c>
      <c r="C40" s="86"/>
      <c r="D40" s="86"/>
      <c r="E40" s="86"/>
      <c r="F40" s="86">
        <f>F28+F32+F36</f>
        <v>1</v>
      </c>
      <c r="G40" s="86">
        <f t="shared" ref="G40:Q40" si="71">G28+G32+G36</f>
        <v>2</v>
      </c>
      <c r="H40" s="86">
        <f t="shared" si="71"/>
        <v>2</v>
      </c>
      <c r="I40" s="86">
        <f t="shared" si="71"/>
        <v>2</v>
      </c>
      <c r="J40" s="86">
        <f t="shared" si="71"/>
        <v>1</v>
      </c>
      <c r="K40" s="86">
        <f t="shared" si="71"/>
        <v>2</v>
      </c>
      <c r="L40" s="86">
        <f t="shared" si="71"/>
        <v>2</v>
      </c>
      <c r="M40" s="86">
        <f t="shared" si="71"/>
        <v>3</v>
      </c>
      <c r="N40" s="86">
        <f t="shared" si="71"/>
        <v>1</v>
      </c>
      <c r="O40" s="86">
        <f t="shared" si="71"/>
        <v>0</v>
      </c>
      <c r="P40" s="86">
        <f t="shared" si="71"/>
        <v>0</v>
      </c>
      <c r="Q40" s="86">
        <f t="shared" si="71"/>
        <v>1</v>
      </c>
    </row>
    <row r="41" spans="2:18" ht="25" customHeight="1">
      <c r="C41" s="2"/>
    </row>
    <row r="42" spans="2:18" ht="25" customHeight="1">
      <c r="B42" s="8" t="s">
        <v>27</v>
      </c>
      <c r="C42" s="8"/>
      <c r="D42" s="9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9"/>
    </row>
    <row r="43" spans="2:18" ht="25" customHeight="1">
      <c r="C43" s="1" t="s">
        <v>5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2:18" ht="25" customHeight="1">
      <c r="D44" s="1" t="s">
        <v>10</v>
      </c>
      <c r="E44" s="5">
        <v>1</v>
      </c>
      <c r="F44" s="5">
        <v>1</v>
      </c>
      <c r="G44" s="5">
        <v>1</v>
      </c>
      <c r="H44" s="5">
        <v>1</v>
      </c>
      <c r="I44" s="5">
        <v>1</v>
      </c>
      <c r="J44" s="5">
        <v>2</v>
      </c>
      <c r="K44" s="5">
        <v>2</v>
      </c>
      <c r="L44" s="5">
        <v>2</v>
      </c>
      <c r="M44" s="5">
        <v>2</v>
      </c>
      <c r="N44" s="5">
        <v>2</v>
      </c>
      <c r="O44" s="5">
        <v>2</v>
      </c>
      <c r="P44" s="5">
        <v>2</v>
      </c>
      <c r="Q44" s="5">
        <v>2</v>
      </c>
      <c r="R44" s="1">
        <f>Q44-E44</f>
        <v>1</v>
      </c>
    </row>
    <row r="45" spans="2:18" ht="25" customHeight="1">
      <c r="D45" s="1" t="s">
        <v>65</v>
      </c>
      <c r="E45" s="4"/>
      <c r="F45" s="11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2:18" ht="25" customHeight="1">
      <c r="D46" s="1" t="s">
        <v>11</v>
      </c>
      <c r="E46" s="4"/>
      <c r="F46" s="4">
        <f>F44-(E44-F45)</f>
        <v>0</v>
      </c>
      <c r="G46" s="4">
        <f t="shared" ref="G46" si="72">G44-(F44-G45)</f>
        <v>0</v>
      </c>
      <c r="H46" s="4">
        <f t="shared" ref="H46" si="73">H44-(G44-H45)</f>
        <v>0</v>
      </c>
      <c r="I46" s="4">
        <f t="shared" ref="I46" si="74">I44-(H44-I45)</f>
        <v>0</v>
      </c>
      <c r="J46" s="4">
        <f t="shared" ref="J46" si="75">J44-(I44-J45)</f>
        <v>1</v>
      </c>
      <c r="K46" s="4">
        <f t="shared" ref="K46" si="76">K44-(J44-K45)</f>
        <v>0</v>
      </c>
      <c r="L46" s="4">
        <f t="shared" ref="L46" si="77">L44-(K44-L45)</f>
        <v>0</v>
      </c>
      <c r="M46" s="4">
        <f t="shared" ref="M46" si="78">M44-(L44-M45)</f>
        <v>0</v>
      </c>
      <c r="N46" s="4">
        <f t="shared" ref="N46" si="79">N44-(M44-N45)</f>
        <v>0</v>
      </c>
      <c r="O46" s="4">
        <f t="shared" ref="O46" si="80">O44-(N44-O45)</f>
        <v>0</v>
      </c>
      <c r="P46" s="4">
        <f t="shared" ref="P46" si="81">P44-(O44-P45)</f>
        <v>0</v>
      </c>
      <c r="Q46" s="4">
        <f t="shared" ref="Q46" si="82">Q44-(P44-Q45)</f>
        <v>0</v>
      </c>
    </row>
    <row r="47" spans="2:18" ht="25" customHeight="1">
      <c r="C47" s="1" t="s">
        <v>6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spans="2:18" ht="25" customHeight="1">
      <c r="D48" s="1" t="s">
        <v>10</v>
      </c>
      <c r="E48" s="5">
        <v>3</v>
      </c>
      <c r="F48" s="5">
        <v>3</v>
      </c>
      <c r="G48" s="5">
        <v>3</v>
      </c>
      <c r="H48" s="5">
        <v>3</v>
      </c>
      <c r="I48" s="5">
        <v>3</v>
      </c>
      <c r="J48" s="5">
        <v>3</v>
      </c>
      <c r="K48" s="5">
        <v>3</v>
      </c>
      <c r="L48" s="5">
        <v>3</v>
      </c>
      <c r="M48" s="5">
        <v>3</v>
      </c>
      <c r="N48" s="5">
        <v>3</v>
      </c>
      <c r="O48" s="5">
        <v>3</v>
      </c>
      <c r="P48" s="5">
        <v>3</v>
      </c>
      <c r="Q48" s="5">
        <v>3</v>
      </c>
      <c r="R48" s="1">
        <f>Q48-E48</f>
        <v>0</v>
      </c>
    </row>
    <row r="49" spans="2:18" ht="25" customHeight="1">
      <c r="D49" s="1" t="s">
        <v>65</v>
      </c>
      <c r="E49" s="4"/>
      <c r="F49" s="11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2:18" ht="25" customHeight="1">
      <c r="D50" s="1" t="s">
        <v>11</v>
      </c>
      <c r="E50" s="4"/>
      <c r="F50" s="4">
        <f>F48-(E48-F49)</f>
        <v>0</v>
      </c>
      <c r="G50" s="4">
        <f t="shared" ref="G50" si="83">G48-(F48-G49)</f>
        <v>0</v>
      </c>
      <c r="H50" s="4">
        <f t="shared" ref="H50" si="84">H48-(G48-H49)</f>
        <v>0</v>
      </c>
      <c r="I50" s="4">
        <f t="shared" ref="I50" si="85">I48-(H48-I49)</f>
        <v>0</v>
      </c>
      <c r="J50" s="4">
        <f t="shared" ref="J50" si="86">J48-(I48-J49)</f>
        <v>0</v>
      </c>
      <c r="K50" s="4">
        <f t="shared" ref="K50" si="87">K48-(J48-K49)</f>
        <v>0</v>
      </c>
      <c r="L50" s="4">
        <f t="shared" ref="L50" si="88">L48-(K48-L49)</f>
        <v>0</v>
      </c>
      <c r="M50" s="4">
        <f t="shared" ref="M50" si="89">M48-(L48-M49)</f>
        <v>0</v>
      </c>
      <c r="N50" s="4">
        <f t="shared" ref="N50" si="90">N48-(M48-N49)</f>
        <v>0</v>
      </c>
      <c r="O50" s="4">
        <f t="shared" ref="O50" si="91">O48-(N48-O49)</f>
        <v>0</v>
      </c>
      <c r="P50" s="4">
        <f t="shared" ref="P50" si="92">P48-(O48-P49)</f>
        <v>0</v>
      </c>
      <c r="Q50" s="4">
        <f t="shared" ref="Q50" si="93">Q48-(P48-Q49)</f>
        <v>0</v>
      </c>
    </row>
    <row r="51" spans="2:18" ht="25" customHeight="1">
      <c r="C51" s="1" t="s">
        <v>7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spans="2:18" ht="25" customHeight="1">
      <c r="D52" s="1" t="s">
        <v>10</v>
      </c>
      <c r="E52" s="5">
        <v>1</v>
      </c>
      <c r="F52" s="5">
        <v>1</v>
      </c>
      <c r="G52" s="5">
        <v>1</v>
      </c>
      <c r="H52" s="5">
        <v>1</v>
      </c>
      <c r="I52" s="5">
        <v>1</v>
      </c>
      <c r="J52" s="5">
        <v>2</v>
      </c>
      <c r="K52" s="5">
        <v>2</v>
      </c>
      <c r="L52" s="5">
        <v>2</v>
      </c>
      <c r="M52" s="5">
        <v>2</v>
      </c>
      <c r="N52" s="5">
        <v>2</v>
      </c>
      <c r="O52" s="5">
        <v>2</v>
      </c>
      <c r="P52" s="5">
        <v>2</v>
      </c>
      <c r="Q52" s="5">
        <v>2</v>
      </c>
      <c r="R52" s="1">
        <f>Q52-E52</f>
        <v>1</v>
      </c>
    </row>
    <row r="53" spans="2:18" ht="25" customHeight="1">
      <c r="D53" s="1" t="s">
        <v>65</v>
      </c>
      <c r="E53" s="4"/>
      <c r="F53" s="11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2:18" ht="25" customHeight="1">
      <c r="D54" s="1" t="s">
        <v>11</v>
      </c>
      <c r="E54" s="4"/>
      <c r="F54" s="4">
        <f>F52-(E52-F53)</f>
        <v>0</v>
      </c>
      <c r="G54" s="4">
        <f t="shared" ref="G54" si="94">G52-(F52-G53)</f>
        <v>0</v>
      </c>
      <c r="H54" s="4">
        <f t="shared" ref="H54" si="95">H52-(G52-H53)</f>
        <v>0</v>
      </c>
      <c r="I54" s="4">
        <f t="shared" ref="I54" si="96">I52-(H52-I53)</f>
        <v>0</v>
      </c>
      <c r="J54" s="4">
        <f t="shared" ref="J54" si="97">J52-(I52-J53)</f>
        <v>1</v>
      </c>
      <c r="K54" s="4">
        <f t="shared" ref="K54" si="98">K52-(J52-K53)</f>
        <v>0</v>
      </c>
      <c r="L54" s="4">
        <f t="shared" ref="L54" si="99">L52-(K52-L53)</f>
        <v>0</v>
      </c>
      <c r="M54" s="4">
        <f t="shared" ref="M54" si="100">M52-(L52-M53)</f>
        <v>0</v>
      </c>
      <c r="N54" s="4">
        <f t="shared" ref="N54" si="101">N52-(M52-N53)</f>
        <v>0</v>
      </c>
      <c r="O54" s="4">
        <f t="shared" ref="O54" si="102">O52-(N52-O53)</f>
        <v>0</v>
      </c>
      <c r="P54" s="4">
        <f t="shared" ref="P54" si="103">P52-(O52-P53)</f>
        <v>0</v>
      </c>
      <c r="Q54" s="4">
        <f t="shared" ref="Q54" si="104">Q52-(P52-Q53)</f>
        <v>0</v>
      </c>
    </row>
    <row r="55" spans="2:18" ht="25" customHeight="1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 spans="2:18" ht="25" customHeight="1">
      <c r="B56" s="86" t="s">
        <v>13</v>
      </c>
      <c r="C56" s="87"/>
      <c r="D56" s="87"/>
      <c r="E56" s="88">
        <f>E44+E48+E52</f>
        <v>5</v>
      </c>
      <c r="F56" s="88">
        <f t="shared" ref="F56:Q56" si="105">F44+F48+F52</f>
        <v>5</v>
      </c>
      <c r="G56" s="88">
        <f t="shared" si="105"/>
        <v>5</v>
      </c>
      <c r="H56" s="88">
        <f t="shared" si="105"/>
        <v>5</v>
      </c>
      <c r="I56" s="88">
        <f t="shared" si="105"/>
        <v>5</v>
      </c>
      <c r="J56" s="88">
        <f t="shared" si="105"/>
        <v>7</v>
      </c>
      <c r="K56" s="88">
        <f t="shared" si="105"/>
        <v>7</v>
      </c>
      <c r="L56" s="88">
        <f t="shared" si="105"/>
        <v>7</v>
      </c>
      <c r="M56" s="88">
        <f t="shared" si="105"/>
        <v>7</v>
      </c>
      <c r="N56" s="88">
        <f t="shared" si="105"/>
        <v>7</v>
      </c>
      <c r="O56" s="88">
        <f t="shared" si="105"/>
        <v>7</v>
      </c>
      <c r="P56" s="88">
        <f t="shared" si="105"/>
        <v>7</v>
      </c>
      <c r="Q56" s="88">
        <f t="shared" si="105"/>
        <v>7</v>
      </c>
      <c r="R56" s="4"/>
    </row>
    <row r="57" spans="2:18" ht="25" customHeight="1">
      <c r="B57" s="86" t="s">
        <v>14</v>
      </c>
      <c r="C57" s="86"/>
      <c r="D57" s="86"/>
      <c r="E57" s="89"/>
      <c r="F57" s="89">
        <f>F56-E56</f>
        <v>0</v>
      </c>
      <c r="G57" s="89">
        <f t="shared" ref="G57" si="106">G56-F56</f>
        <v>0</v>
      </c>
      <c r="H57" s="89">
        <f t="shared" ref="H57" si="107">H56-G56</f>
        <v>0</v>
      </c>
      <c r="I57" s="89">
        <f t="shared" ref="I57" si="108">I56-H56</f>
        <v>0</v>
      </c>
      <c r="J57" s="89">
        <f t="shared" ref="J57" si="109">J56-I56</f>
        <v>2</v>
      </c>
      <c r="K57" s="89">
        <f t="shared" ref="K57" si="110">K56-J56</f>
        <v>0</v>
      </c>
      <c r="L57" s="89">
        <f t="shared" ref="L57" si="111">L56-K56</f>
        <v>0</v>
      </c>
      <c r="M57" s="89">
        <f t="shared" ref="M57" si="112">M56-L56</f>
        <v>0</v>
      </c>
      <c r="N57" s="89">
        <f t="shared" ref="N57" si="113">N56-M56</f>
        <v>0</v>
      </c>
      <c r="O57" s="89">
        <f t="shared" ref="O57" si="114">O56-N56</f>
        <v>0</v>
      </c>
      <c r="P57" s="89">
        <f t="shared" ref="P57" si="115">P56-O56</f>
        <v>0</v>
      </c>
      <c r="Q57" s="89">
        <f t="shared" ref="Q57" si="116">Q56-P56</f>
        <v>0</v>
      </c>
      <c r="R57" s="3"/>
    </row>
    <row r="58" spans="2:18" ht="25" customHeight="1">
      <c r="B58" s="86" t="s">
        <v>29</v>
      </c>
      <c r="C58" s="86"/>
      <c r="D58" s="86"/>
      <c r="E58" s="86"/>
      <c r="F58" s="86">
        <f>F46+F50+F54</f>
        <v>0</v>
      </c>
      <c r="G58" s="86">
        <f t="shared" ref="G58:Q58" si="117">G46+G50+G54</f>
        <v>0</v>
      </c>
      <c r="H58" s="86">
        <f t="shared" si="117"/>
        <v>0</v>
      </c>
      <c r="I58" s="86">
        <f t="shared" si="117"/>
        <v>0</v>
      </c>
      <c r="J58" s="86">
        <f t="shared" si="117"/>
        <v>2</v>
      </c>
      <c r="K58" s="86">
        <f t="shared" si="117"/>
        <v>0</v>
      </c>
      <c r="L58" s="86">
        <f t="shared" si="117"/>
        <v>0</v>
      </c>
      <c r="M58" s="86">
        <f t="shared" si="117"/>
        <v>0</v>
      </c>
      <c r="N58" s="86">
        <f t="shared" si="117"/>
        <v>0</v>
      </c>
      <c r="O58" s="86">
        <f t="shared" si="117"/>
        <v>0</v>
      </c>
      <c r="P58" s="86">
        <f t="shared" si="117"/>
        <v>0</v>
      </c>
      <c r="Q58" s="86">
        <f t="shared" si="117"/>
        <v>0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4E93D-F77E-DE4E-9295-4F9D3DFC21C7}">
  <dimension ref="A2:EF22"/>
  <sheetViews>
    <sheetView workbookViewId="0">
      <selection activeCell="E6" sqref="E6"/>
    </sheetView>
  </sheetViews>
  <sheetFormatPr baseColWidth="10" defaultRowHeight="25" customHeight="1"/>
  <cols>
    <col min="1" max="1" width="10.83203125" style="1"/>
    <col min="2" max="2" width="3.1640625" style="1" customWidth="1"/>
    <col min="3" max="3" width="11.33203125" style="1" customWidth="1"/>
    <col min="4" max="4" width="13.5" style="1" customWidth="1"/>
    <col min="5" max="5" width="19.1640625" style="1" bestFit="1" customWidth="1"/>
    <col min="6" max="6" width="10" style="1" bestFit="1" customWidth="1"/>
    <col min="7" max="7" width="17.6640625" style="1" bestFit="1" customWidth="1"/>
    <col min="8" max="8" width="23.1640625" style="1" bestFit="1" customWidth="1"/>
    <col min="9" max="9" width="19.5" style="1" bestFit="1" customWidth="1"/>
    <col min="10" max="11" width="19.5" style="1" customWidth="1"/>
    <col min="12" max="12" width="26" style="1" bestFit="1" customWidth="1"/>
    <col min="13" max="13" width="20" style="1" bestFit="1" customWidth="1"/>
    <col min="14" max="14" width="28" style="1" customWidth="1"/>
    <col min="15" max="15" width="23" style="1" bestFit="1" customWidth="1"/>
    <col min="16" max="16" width="22.5" style="1" bestFit="1" customWidth="1"/>
    <col min="17" max="17" width="28" style="1" bestFit="1" customWidth="1"/>
    <col min="18" max="18" width="17" style="1" bestFit="1" customWidth="1"/>
    <col min="19" max="16384" width="10.83203125" style="1"/>
  </cols>
  <sheetData>
    <row r="2" spans="1:136" ht="25" customHeight="1">
      <c r="B2" s="13" t="s">
        <v>46</v>
      </c>
    </row>
    <row r="3" spans="1:136" ht="25" customHeight="1">
      <c r="B3" s="58" t="s">
        <v>116</v>
      </c>
    </row>
    <row r="4" spans="1:136" ht="15" customHeight="1" thickBot="1">
      <c r="B4" s="58"/>
    </row>
    <row r="5" spans="1:136" ht="23" customHeight="1" thickBot="1">
      <c r="B5" s="12"/>
      <c r="G5" s="104" t="s">
        <v>40</v>
      </c>
      <c r="H5" s="105"/>
      <c r="I5" s="105"/>
      <c r="J5" s="106"/>
      <c r="K5" s="104" t="s">
        <v>39</v>
      </c>
      <c r="L5" s="105"/>
      <c r="M5" s="105"/>
      <c r="N5" s="106"/>
      <c r="O5" s="104" t="s">
        <v>41</v>
      </c>
      <c r="P5" s="105"/>
      <c r="Q5" s="106"/>
    </row>
    <row r="6" spans="1:136" s="55" customFormat="1" ht="25" customHeight="1" thickBot="1">
      <c r="A6" s="76"/>
      <c r="B6" s="77"/>
      <c r="C6" s="78"/>
      <c r="D6" s="64" t="s">
        <v>31</v>
      </c>
      <c r="E6" s="64" t="s">
        <v>94</v>
      </c>
      <c r="F6" s="65" t="s">
        <v>35</v>
      </c>
      <c r="G6" s="66" t="s">
        <v>47</v>
      </c>
      <c r="H6" s="67" t="s">
        <v>95</v>
      </c>
      <c r="I6" s="67" t="s">
        <v>32</v>
      </c>
      <c r="J6" s="68" t="s">
        <v>36</v>
      </c>
      <c r="K6" s="66" t="s">
        <v>39</v>
      </c>
      <c r="L6" s="67" t="s">
        <v>96</v>
      </c>
      <c r="M6" s="67" t="s">
        <v>48</v>
      </c>
      <c r="N6" s="68" t="s">
        <v>37</v>
      </c>
      <c r="O6" s="66" t="s">
        <v>42</v>
      </c>
      <c r="P6" s="67" t="s">
        <v>44</v>
      </c>
      <c r="Q6" s="68" t="s">
        <v>45</v>
      </c>
      <c r="R6" s="70" t="s">
        <v>43</v>
      </c>
      <c r="S6" s="38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6"/>
      <c r="BK6" s="76"/>
      <c r="BL6" s="76"/>
      <c r="BM6" s="76"/>
      <c r="BN6" s="76"/>
      <c r="BO6" s="76"/>
      <c r="BP6" s="76"/>
      <c r="BQ6" s="76"/>
      <c r="BR6" s="76"/>
      <c r="BS6" s="76"/>
      <c r="BT6" s="76"/>
      <c r="BU6" s="76"/>
      <c r="BV6" s="76"/>
      <c r="BW6" s="76"/>
      <c r="BX6" s="76"/>
      <c r="BY6" s="76"/>
      <c r="BZ6" s="76"/>
      <c r="CA6" s="76"/>
      <c r="CB6" s="76"/>
      <c r="CC6" s="76"/>
      <c r="CD6" s="76"/>
      <c r="CE6" s="76"/>
      <c r="CF6" s="76"/>
      <c r="CG6" s="76"/>
      <c r="CH6" s="76"/>
      <c r="CI6" s="76"/>
      <c r="CJ6" s="76"/>
      <c r="CK6" s="76"/>
      <c r="CL6" s="76"/>
      <c r="CM6" s="76"/>
      <c r="CN6" s="76"/>
      <c r="CO6" s="76"/>
      <c r="CP6" s="76"/>
      <c r="CQ6" s="76"/>
      <c r="CR6" s="76"/>
      <c r="CS6" s="76"/>
      <c r="CT6" s="76"/>
      <c r="CU6" s="76"/>
      <c r="CV6" s="76"/>
      <c r="CW6" s="76"/>
      <c r="CX6" s="76"/>
      <c r="CY6" s="76"/>
      <c r="CZ6" s="76"/>
      <c r="DA6" s="76"/>
      <c r="DB6" s="76"/>
      <c r="DC6" s="76"/>
      <c r="DD6" s="76"/>
      <c r="DE6" s="76"/>
      <c r="DF6" s="76"/>
      <c r="DG6" s="76"/>
      <c r="DH6" s="76"/>
      <c r="DI6" s="76"/>
      <c r="DJ6" s="76"/>
      <c r="DK6" s="76"/>
      <c r="DL6" s="76"/>
      <c r="DM6" s="76"/>
      <c r="DN6" s="76"/>
      <c r="DO6" s="76"/>
      <c r="DP6" s="76"/>
      <c r="DQ6" s="76"/>
      <c r="DR6" s="76"/>
      <c r="DS6" s="76"/>
      <c r="DT6" s="76"/>
      <c r="DU6" s="76"/>
      <c r="DV6" s="76"/>
      <c r="DW6" s="76"/>
      <c r="DX6" s="76"/>
      <c r="DY6" s="76"/>
      <c r="DZ6" s="76"/>
      <c r="EA6" s="76"/>
      <c r="EB6" s="76"/>
      <c r="EC6" s="76"/>
      <c r="ED6" s="76"/>
      <c r="EE6" s="76"/>
      <c r="EF6" s="76"/>
    </row>
    <row r="7" spans="1:136" s="9" customFormat="1" ht="25" customHeight="1">
      <c r="A7" s="1"/>
      <c r="B7" s="21" t="s">
        <v>9</v>
      </c>
      <c r="C7" s="22"/>
      <c r="D7" s="23"/>
      <c r="E7" s="23"/>
      <c r="F7" s="24"/>
      <c r="G7" s="14"/>
      <c r="H7" s="15"/>
      <c r="I7" s="15"/>
      <c r="J7" s="16"/>
      <c r="K7" s="14"/>
      <c r="L7" s="15"/>
      <c r="M7" s="15"/>
      <c r="N7" s="16"/>
      <c r="O7" s="14"/>
      <c r="P7" s="15"/>
      <c r="Q7" s="16"/>
      <c r="R7" s="36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</row>
    <row r="8" spans="1:136" ht="25" customHeight="1">
      <c r="B8" s="25"/>
      <c r="C8" s="26" t="s">
        <v>5</v>
      </c>
      <c r="D8" s="19">
        <f>SUM('Headcount Planning'!F10:Q10)</f>
        <v>2</v>
      </c>
      <c r="E8" s="19">
        <f>G8+K8+O8</f>
        <v>2</v>
      </c>
      <c r="F8" s="31">
        <v>100000</v>
      </c>
      <c r="G8" s="17">
        <v>1</v>
      </c>
      <c r="H8" s="18">
        <v>0.25</v>
      </c>
      <c r="I8" s="32">
        <f t="shared" ref="I8:J10" si="0">H8*F8</f>
        <v>25000</v>
      </c>
      <c r="J8" s="33">
        <f t="shared" si="0"/>
        <v>25000</v>
      </c>
      <c r="K8" s="17">
        <v>0</v>
      </c>
      <c r="L8" s="20">
        <v>0.04</v>
      </c>
      <c r="M8" s="32">
        <f>L8*F8</f>
        <v>4000</v>
      </c>
      <c r="N8" s="33">
        <f>M8*K8</f>
        <v>0</v>
      </c>
      <c r="O8" s="17">
        <v>1</v>
      </c>
      <c r="P8" s="34">
        <v>2000</v>
      </c>
      <c r="Q8" s="33">
        <f>P8*O8</f>
        <v>2000</v>
      </c>
      <c r="R8" s="37">
        <f>Q8+N8+J8</f>
        <v>27000</v>
      </c>
    </row>
    <row r="9" spans="1:136" ht="25" customHeight="1">
      <c r="B9" s="25"/>
      <c r="C9" s="26" t="s">
        <v>6</v>
      </c>
      <c r="D9" s="19">
        <f>SUM('Headcount Planning'!F14:Q14)</f>
        <v>1</v>
      </c>
      <c r="E9" s="19">
        <f>G9+K9+O9</f>
        <v>1</v>
      </c>
      <c r="F9" s="31">
        <v>80000</v>
      </c>
      <c r="G9" s="17">
        <v>0</v>
      </c>
      <c r="H9" s="18">
        <v>0.25</v>
      </c>
      <c r="I9" s="32">
        <f t="shared" si="0"/>
        <v>20000</v>
      </c>
      <c r="J9" s="33">
        <f t="shared" si="0"/>
        <v>0</v>
      </c>
      <c r="K9" s="17">
        <f>D9-G9</f>
        <v>1</v>
      </c>
      <c r="L9" s="20">
        <v>0.03</v>
      </c>
      <c r="M9" s="32">
        <f>L9*F9</f>
        <v>2400</v>
      </c>
      <c r="N9" s="33">
        <f>M9*K9</f>
        <v>2400</v>
      </c>
      <c r="O9" s="17">
        <v>0</v>
      </c>
      <c r="P9" s="34">
        <v>2000</v>
      </c>
      <c r="Q9" s="33">
        <f>P9*O9</f>
        <v>0</v>
      </c>
      <c r="R9" s="37">
        <f t="shared" ref="R9:R10" si="1">Q9+N9+J9</f>
        <v>2400</v>
      </c>
    </row>
    <row r="10" spans="1:136" ht="25" customHeight="1">
      <c r="B10" s="25"/>
      <c r="C10" s="26" t="s">
        <v>7</v>
      </c>
      <c r="D10" s="19">
        <f>SUM('Headcount Planning'!F18:Q18)</f>
        <v>4</v>
      </c>
      <c r="E10" s="19">
        <f>G10+K10+O10</f>
        <v>4</v>
      </c>
      <c r="F10" s="31">
        <v>35000</v>
      </c>
      <c r="G10" s="17">
        <v>1</v>
      </c>
      <c r="H10" s="18">
        <v>0.25</v>
      </c>
      <c r="I10" s="32">
        <f t="shared" si="0"/>
        <v>8750</v>
      </c>
      <c r="J10" s="33">
        <f t="shared" si="0"/>
        <v>8750</v>
      </c>
      <c r="K10" s="17">
        <v>3</v>
      </c>
      <c r="L10" s="20">
        <v>0.03</v>
      </c>
      <c r="M10" s="32">
        <f>L10*F10</f>
        <v>1050</v>
      </c>
      <c r="N10" s="33">
        <f>M10*K10</f>
        <v>3150</v>
      </c>
      <c r="O10" s="17">
        <v>0</v>
      </c>
      <c r="P10" s="34">
        <v>2000</v>
      </c>
      <c r="Q10" s="33">
        <f>P10*O10</f>
        <v>0</v>
      </c>
      <c r="R10" s="37">
        <f t="shared" si="1"/>
        <v>11900</v>
      </c>
    </row>
    <row r="11" spans="1:136" s="9" customFormat="1" ht="25" customHeight="1">
      <c r="A11" s="1"/>
      <c r="B11" s="27" t="s">
        <v>8</v>
      </c>
      <c r="C11" s="28"/>
      <c r="D11" s="15"/>
      <c r="E11" s="15"/>
      <c r="F11" s="16"/>
      <c r="G11" s="14"/>
      <c r="H11" s="15"/>
      <c r="I11" s="15"/>
      <c r="J11" s="16"/>
      <c r="K11" s="14"/>
      <c r="L11" s="15"/>
      <c r="M11" s="15"/>
      <c r="N11" s="16"/>
      <c r="O11" s="14"/>
      <c r="P11" s="15"/>
      <c r="Q11" s="16"/>
      <c r="R11" s="36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</row>
    <row r="12" spans="1:136" ht="25" customHeight="1">
      <c r="B12" s="25"/>
      <c r="C12" s="26" t="s">
        <v>5</v>
      </c>
      <c r="D12" s="19">
        <f>SUM('Headcount Planning'!F28:Q28)</f>
        <v>0</v>
      </c>
      <c r="E12" s="19">
        <f>G12+K12+O12</f>
        <v>0</v>
      </c>
      <c r="F12" s="31">
        <v>90000</v>
      </c>
      <c r="G12" s="17">
        <v>0</v>
      </c>
      <c r="H12" s="18">
        <v>0.25</v>
      </c>
      <c r="I12" s="32">
        <f t="shared" ref="I12:J14" si="2">H12*F12</f>
        <v>22500</v>
      </c>
      <c r="J12" s="33">
        <f t="shared" si="2"/>
        <v>0</v>
      </c>
      <c r="K12" s="17">
        <f>D12-G12</f>
        <v>0</v>
      </c>
      <c r="L12" s="20">
        <v>0.03</v>
      </c>
      <c r="M12" s="32">
        <f>L12*F12</f>
        <v>2700</v>
      </c>
      <c r="N12" s="33">
        <f>M12*K12</f>
        <v>0</v>
      </c>
      <c r="O12" s="17">
        <v>0</v>
      </c>
      <c r="P12" s="34">
        <v>2000</v>
      </c>
      <c r="Q12" s="33">
        <f>P12*O12</f>
        <v>0</v>
      </c>
      <c r="R12" s="37">
        <f>Q12+N12+J12</f>
        <v>0</v>
      </c>
    </row>
    <row r="13" spans="1:136" ht="25" customHeight="1">
      <c r="B13" s="25"/>
      <c r="C13" s="26" t="s">
        <v>6</v>
      </c>
      <c r="D13" s="19">
        <f>SUM('Headcount Planning'!F32:Q32)</f>
        <v>11</v>
      </c>
      <c r="E13" s="19">
        <f>G13+K13+O13</f>
        <v>11</v>
      </c>
      <c r="F13" s="31">
        <v>20000</v>
      </c>
      <c r="G13" s="17">
        <v>0</v>
      </c>
      <c r="H13" s="18">
        <v>0.25</v>
      </c>
      <c r="I13" s="32">
        <f t="shared" si="2"/>
        <v>5000</v>
      </c>
      <c r="J13" s="33">
        <f t="shared" si="2"/>
        <v>0</v>
      </c>
      <c r="K13" s="17">
        <v>8</v>
      </c>
      <c r="L13" s="20">
        <v>0.03</v>
      </c>
      <c r="M13" s="32">
        <f>L13*F13</f>
        <v>600</v>
      </c>
      <c r="N13" s="33">
        <f>M13*K13</f>
        <v>4800</v>
      </c>
      <c r="O13" s="17">
        <v>3</v>
      </c>
      <c r="P13" s="34">
        <v>2000</v>
      </c>
      <c r="Q13" s="33">
        <f>P13*O13</f>
        <v>6000</v>
      </c>
      <c r="R13" s="37">
        <f t="shared" ref="R13:R14" si="3">Q13+N13+J13</f>
        <v>10800</v>
      </c>
    </row>
    <row r="14" spans="1:136" ht="25" customHeight="1">
      <c r="B14" s="25"/>
      <c r="C14" s="26" t="s">
        <v>7</v>
      </c>
      <c r="D14" s="19">
        <f>SUM('Headcount Planning'!F36:Q36)</f>
        <v>6</v>
      </c>
      <c r="E14" s="19">
        <f>G14+K14+O14</f>
        <v>6</v>
      </c>
      <c r="F14" s="31">
        <v>40000</v>
      </c>
      <c r="G14" s="17">
        <v>2</v>
      </c>
      <c r="H14" s="18">
        <v>0.25</v>
      </c>
      <c r="I14" s="32">
        <f t="shared" si="2"/>
        <v>10000</v>
      </c>
      <c r="J14" s="33">
        <f t="shared" si="2"/>
        <v>20000</v>
      </c>
      <c r="K14" s="17">
        <v>4</v>
      </c>
      <c r="L14" s="20">
        <v>0.03</v>
      </c>
      <c r="M14" s="32">
        <f>L14*F14</f>
        <v>1200</v>
      </c>
      <c r="N14" s="33">
        <f>M14*K14</f>
        <v>4800</v>
      </c>
      <c r="O14" s="17">
        <v>0</v>
      </c>
      <c r="P14" s="34">
        <v>2000</v>
      </c>
      <c r="Q14" s="33">
        <f>P14*O14</f>
        <v>0</v>
      </c>
      <c r="R14" s="37">
        <f t="shared" si="3"/>
        <v>24800</v>
      </c>
    </row>
    <row r="15" spans="1:136" s="9" customFormat="1" ht="25" customHeight="1">
      <c r="A15" s="1"/>
      <c r="B15" s="27" t="s">
        <v>27</v>
      </c>
      <c r="C15" s="28"/>
      <c r="D15" s="15"/>
      <c r="E15" s="15"/>
      <c r="F15" s="16"/>
      <c r="G15" s="14"/>
      <c r="H15" s="15"/>
      <c r="I15" s="15"/>
      <c r="J15" s="16"/>
      <c r="K15" s="14"/>
      <c r="L15" s="15"/>
      <c r="M15" s="15"/>
      <c r="N15" s="16"/>
      <c r="O15" s="14"/>
      <c r="P15" s="15"/>
      <c r="Q15" s="16"/>
      <c r="R15" s="36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</row>
    <row r="16" spans="1:136" ht="25" customHeight="1">
      <c r="B16" s="25"/>
      <c r="C16" s="26" t="s">
        <v>5</v>
      </c>
      <c r="D16" s="19">
        <f>SUM('Headcount Planning'!F46:Q46)</f>
        <v>1</v>
      </c>
      <c r="E16" s="19">
        <f>G16+K16+O16</f>
        <v>1</v>
      </c>
      <c r="F16" s="31">
        <v>70000</v>
      </c>
      <c r="G16" s="17">
        <v>0</v>
      </c>
      <c r="H16" s="18">
        <v>0.25</v>
      </c>
      <c r="I16" s="32">
        <f t="shared" ref="I16:J18" si="4">H16*F16</f>
        <v>17500</v>
      </c>
      <c r="J16" s="33">
        <f t="shared" si="4"/>
        <v>0</v>
      </c>
      <c r="K16" s="17">
        <f>D16-G16</f>
        <v>1</v>
      </c>
      <c r="L16" s="20">
        <v>0.03</v>
      </c>
      <c r="M16" s="32">
        <f>L16*F16</f>
        <v>2100</v>
      </c>
      <c r="N16" s="33">
        <f>M16*K16</f>
        <v>2100</v>
      </c>
      <c r="O16" s="17">
        <v>0</v>
      </c>
      <c r="P16" s="34">
        <v>2000</v>
      </c>
      <c r="Q16" s="33">
        <f>P16*O16</f>
        <v>0</v>
      </c>
      <c r="R16" s="37">
        <f>Q16+N16+J16</f>
        <v>2100</v>
      </c>
    </row>
    <row r="17" spans="2:19" ht="25" customHeight="1">
      <c r="B17" s="25"/>
      <c r="C17" s="26" t="s">
        <v>6</v>
      </c>
      <c r="D17" s="19">
        <f>SUM('Headcount Planning'!F50:Q50)</f>
        <v>0</v>
      </c>
      <c r="E17" s="19">
        <f>G17+K17+O17</f>
        <v>0</v>
      </c>
      <c r="F17" s="31">
        <v>43500</v>
      </c>
      <c r="G17" s="17">
        <v>0</v>
      </c>
      <c r="H17" s="18">
        <v>0.25</v>
      </c>
      <c r="I17" s="32">
        <f t="shared" si="4"/>
        <v>10875</v>
      </c>
      <c r="J17" s="33">
        <f t="shared" si="4"/>
        <v>0</v>
      </c>
      <c r="K17" s="17">
        <v>0</v>
      </c>
      <c r="L17" s="20">
        <v>0.03</v>
      </c>
      <c r="M17" s="32">
        <f>L17*F17</f>
        <v>1305</v>
      </c>
      <c r="N17" s="33">
        <f>M17*K17</f>
        <v>0</v>
      </c>
      <c r="O17" s="17">
        <v>0</v>
      </c>
      <c r="P17" s="34">
        <v>2000</v>
      </c>
      <c r="Q17" s="33">
        <f>P17*O17</f>
        <v>0</v>
      </c>
      <c r="R17" s="37">
        <f t="shared" ref="R17:R18" si="5">Q17+N17+J17</f>
        <v>0</v>
      </c>
    </row>
    <row r="18" spans="2:19" ht="25" customHeight="1">
      <c r="B18" s="25"/>
      <c r="C18" s="26" t="s">
        <v>7</v>
      </c>
      <c r="D18" s="19">
        <f>SUM('Headcount Planning'!F54:Q54)</f>
        <v>1</v>
      </c>
      <c r="E18" s="19">
        <f>G18+K18+O18</f>
        <v>1</v>
      </c>
      <c r="F18" s="31">
        <v>38750</v>
      </c>
      <c r="G18" s="17">
        <v>0</v>
      </c>
      <c r="H18" s="18">
        <v>0.25</v>
      </c>
      <c r="I18" s="32">
        <f t="shared" si="4"/>
        <v>9687.5</v>
      </c>
      <c r="J18" s="33">
        <f t="shared" si="4"/>
        <v>0</v>
      </c>
      <c r="K18" s="17">
        <v>1</v>
      </c>
      <c r="L18" s="20">
        <v>0.03</v>
      </c>
      <c r="M18" s="32">
        <f>L18*F18</f>
        <v>1162.5</v>
      </c>
      <c r="N18" s="33">
        <f>M18*K18</f>
        <v>1162.5</v>
      </c>
      <c r="O18" s="17">
        <v>0</v>
      </c>
      <c r="P18" s="34">
        <v>2000</v>
      </c>
      <c r="Q18" s="33">
        <f>P18*O18</f>
        <v>0</v>
      </c>
      <c r="R18" s="37">
        <f t="shared" si="5"/>
        <v>1162.5</v>
      </c>
    </row>
    <row r="19" spans="2:19" s="2" customFormat="1" ht="25" customHeight="1" thickBot="1">
      <c r="B19" s="80" t="s">
        <v>33</v>
      </c>
      <c r="C19" s="81"/>
      <c r="D19" s="82">
        <f>SUM(D8:D18)</f>
        <v>26</v>
      </c>
      <c r="E19" s="82"/>
      <c r="F19" s="83"/>
      <c r="G19" s="82">
        <f>SUM(G8:G18)</f>
        <v>4</v>
      </c>
      <c r="H19" s="82"/>
      <c r="I19" s="82"/>
      <c r="J19" s="84">
        <f>SUM(J8:J18)</f>
        <v>53750</v>
      </c>
      <c r="K19" s="82">
        <f>SUM(K8:K18)</f>
        <v>18</v>
      </c>
      <c r="L19" s="82"/>
      <c r="M19" s="82"/>
      <c r="N19" s="84">
        <f>SUM(N8:N18)</f>
        <v>18412.5</v>
      </c>
      <c r="O19" s="82">
        <f>SUM(O8:O18)</f>
        <v>4</v>
      </c>
      <c r="P19" s="82"/>
      <c r="Q19" s="84">
        <f>SUM(Q8:Q18)</f>
        <v>8000</v>
      </c>
      <c r="R19" s="85">
        <f t="shared" ref="R19" si="6">SUM(R8:R18)</f>
        <v>80162.5</v>
      </c>
    </row>
    <row r="20" spans="2:19" ht="25" customHeight="1">
      <c r="B20" s="2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2:19" ht="25" customHeight="1">
      <c r="B21" s="2"/>
      <c r="C21" s="2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2:19" ht="25" customHeight="1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</sheetData>
  <mergeCells count="3">
    <mergeCell ref="G5:J5"/>
    <mergeCell ref="K5:N5"/>
    <mergeCell ref="O5:Q5"/>
  </mergeCells>
  <conditionalFormatting sqref="E8">
    <cfRule type="cellIs" dxfId="9" priority="10" operator="notEqual">
      <formula>$D$8</formula>
    </cfRule>
  </conditionalFormatting>
  <conditionalFormatting sqref="E9">
    <cfRule type="cellIs" dxfId="8" priority="9" operator="notEqual">
      <formula>$D$9</formula>
    </cfRule>
  </conditionalFormatting>
  <conditionalFormatting sqref="E10">
    <cfRule type="cellIs" dxfId="7" priority="8" operator="notEqual">
      <formula>$D$10</formula>
    </cfRule>
  </conditionalFormatting>
  <conditionalFormatting sqref="E12">
    <cfRule type="cellIs" dxfId="6" priority="6" operator="notEqual">
      <formula>$D$12</formula>
    </cfRule>
    <cfRule type="cellIs" dxfId="5" priority="7" operator="notEqual">
      <formula>$D$12</formula>
    </cfRule>
  </conditionalFormatting>
  <conditionalFormatting sqref="E13">
    <cfRule type="cellIs" dxfId="4" priority="5" operator="notEqual">
      <formula>$D$13</formula>
    </cfRule>
  </conditionalFormatting>
  <conditionalFormatting sqref="E14">
    <cfRule type="cellIs" dxfId="3" priority="4" operator="notEqual">
      <formula>$D$14</formula>
    </cfRule>
  </conditionalFormatting>
  <conditionalFormatting sqref="E16">
    <cfRule type="cellIs" dxfId="2" priority="3" operator="notEqual">
      <formula>$D$16</formula>
    </cfRule>
  </conditionalFormatting>
  <conditionalFormatting sqref="E17">
    <cfRule type="cellIs" dxfId="1" priority="2" operator="notEqual">
      <formula>$D$17</formula>
    </cfRule>
  </conditionalFormatting>
  <conditionalFormatting sqref="E18">
    <cfRule type="cellIs" dxfId="0" priority="1" operator="notEqual">
      <formula>$D$18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DEE41-7BEC-9045-97F7-E4E8BC237D45}">
  <dimension ref="A2:S29"/>
  <sheetViews>
    <sheetView workbookViewId="0">
      <selection activeCell="E22" sqref="E22"/>
    </sheetView>
  </sheetViews>
  <sheetFormatPr baseColWidth="10" defaultRowHeight="25" customHeight="1"/>
  <cols>
    <col min="1" max="1" width="10.83203125" style="1"/>
    <col min="2" max="2" width="3.1640625" style="1" customWidth="1"/>
    <col min="3" max="3" width="14.5" style="1" customWidth="1"/>
    <col min="4" max="4" width="13.5" style="1" customWidth="1"/>
    <col min="5" max="5" width="19.1640625" style="1" bestFit="1" customWidth="1"/>
    <col min="6" max="6" width="10" style="1" bestFit="1" customWidth="1"/>
    <col min="7" max="7" width="17.6640625" style="1" bestFit="1" customWidth="1"/>
    <col min="8" max="8" width="10.33203125" style="1" bestFit="1" customWidth="1"/>
    <col min="9" max="9" width="19.5" style="1" bestFit="1" customWidth="1"/>
    <col min="10" max="11" width="19.5" style="1" customWidth="1"/>
    <col min="12" max="12" width="26" style="1" bestFit="1" customWidth="1"/>
    <col min="13" max="13" width="20" style="1" bestFit="1" customWidth="1"/>
    <col min="14" max="14" width="28" style="1" customWidth="1"/>
    <col min="15" max="15" width="23" style="1" bestFit="1" customWidth="1"/>
    <col min="16" max="16" width="22.5" style="1" bestFit="1" customWidth="1"/>
    <col min="17" max="17" width="28" style="1" bestFit="1" customWidth="1"/>
    <col min="18" max="18" width="17" style="1" bestFit="1" customWidth="1"/>
    <col min="19" max="16384" width="10.83203125" style="1"/>
  </cols>
  <sheetData>
    <row r="2" spans="1:19" ht="25" customHeight="1">
      <c r="B2" s="13" t="s">
        <v>118</v>
      </c>
    </row>
    <row r="3" spans="1:19" ht="25" customHeight="1">
      <c r="B3" s="13"/>
    </row>
    <row r="4" spans="1:19" ht="25" customHeight="1">
      <c r="B4" s="55" t="s">
        <v>97</v>
      </c>
      <c r="C4" s="55"/>
      <c r="D4" s="7"/>
      <c r="E4" s="7"/>
      <c r="F4" s="3"/>
      <c r="G4" s="72" t="s">
        <v>111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9" ht="25" customHeight="1">
      <c r="B5" s="2"/>
      <c r="C5" s="58" t="s">
        <v>38</v>
      </c>
      <c r="D5" s="3"/>
      <c r="E5" s="71">
        <f>'Sourcing Plan'!J19</f>
        <v>53750</v>
      </c>
      <c r="F5" s="71"/>
      <c r="G5" s="73">
        <f>ROUNDUP(E5/'Sourcing Plan'!G19,0)</f>
        <v>13438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25" customHeight="1">
      <c r="B6" s="2"/>
      <c r="C6" s="58" t="s">
        <v>105</v>
      </c>
      <c r="D6" s="2"/>
      <c r="E6" s="59">
        <f>'Sourcing Plan'!N19</f>
        <v>18412.5</v>
      </c>
      <c r="F6" s="59"/>
      <c r="G6" s="74">
        <f>ROUNDUP(E6/'Sourcing Plan'!K19,0)</f>
        <v>1023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9" ht="25" customHeight="1">
      <c r="B7" s="2"/>
      <c r="C7" s="58" t="s">
        <v>106</v>
      </c>
      <c r="D7" s="2"/>
      <c r="E7" s="59">
        <f>'Sourcing Plan'!Q19</f>
        <v>8000</v>
      </c>
      <c r="F7" s="59"/>
      <c r="G7" s="74">
        <f>ROUNDUP(E7/'Sourcing Plan'!O19,0)</f>
        <v>2000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9" ht="25" customHeight="1">
      <c r="B8" s="2" t="s">
        <v>107</v>
      </c>
      <c r="C8" s="58"/>
      <c r="D8" s="2"/>
      <c r="E8" s="59">
        <f>SUM(E5:E7)</f>
        <v>80162.5</v>
      </c>
      <c r="F8" s="2"/>
      <c r="G8" s="75">
        <f>E8/('Sourcing Plan'!O19+'Sourcing Plan'!K19+'Sourcing Plan'!G19)</f>
        <v>3083.1730769230771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9" ht="25" customHeight="1">
      <c r="B9" s="58"/>
      <c r="C9" s="2"/>
      <c r="D9" s="2"/>
      <c r="E9" s="59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9" ht="25" customHeight="1">
      <c r="A10" s="2"/>
      <c r="B10" s="55" t="s">
        <v>99</v>
      </c>
      <c r="C10" s="6"/>
      <c r="D10" s="6"/>
      <c r="E10" s="79"/>
    </row>
    <row r="11" spans="1:19" ht="25" customHeight="1">
      <c r="C11" s="1" t="s">
        <v>102</v>
      </c>
      <c r="E11" s="102">
        <v>700</v>
      </c>
    </row>
    <row r="12" spans="1:19" ht="25" customHeight="1">
      <c r="C12" s="1" t="s">
        <v>113</v>
      </c>
      <c r="E12" s="102">
        <v>1500</v>
      </c>
    </row>
    <row r="13" spans="1:19" ht="25" customHeight="1">
      <c r="B13" s="2" t="s">
        <v>108</v>
      </c>
      <c r="C13" s="2"/>
      <c r="D13" s="2"/>
      <c r="E13" s="59">
        <f>SUM(E11:E12)</f>
        <v>2200</v>
      </c>
    </row>
    <row r="14" spans="1:19" ht="25" customHeight="1">
      <c r="E14" s="49"/>
    </row>
    <row r="15" spans="1:19" ht="25" customHeight="1">
      <c r="B15" s="55" t="s">
        <v>126</v>
      </c>
      <c r="C15" s="6"/>
      <c r="D15" s="6"/>
      <c r="E15" s="79"/>
    </row>
    <row r="16" spans="1:19" ht="25" customHeight="1">
      <c r="C16" s="1" t="s">
        <v>127</v>
      </c>
      <c r="E16" s="102">
        <v>1200</v>
      </c>
    </row>
    <row r="17" spans="2:8" ht="25" customHeight="1">
      <c r="C17" s="1" t="s">
        <v>128</v>
      </c>
      <c r="E17" s="102">
        <v>500</v>
      </c>
    </row>
    <row r="18" spans="2:8" ht="25" customHeight="1">
      <c r="B18" s="2" t="s">
        <v>108</v>
      </c>
      <c r="C18" s="2"/>
      <c r="D18" s="2"/>
      <c r="E18" s="59">
        <f>SUM(E16:E17)</f>
        <v>1700</v>
      </c>
    </row>
    <row r="19" spans="2:8" ht="25" customHeight="1">
      <c r="B19" s="2"/>
      <c r="C19" s="2"/>
      <c r="D19" s="2"/>
      <c r="E19" s="59"/>
    </row>
    <row r="20" spans="2:8" ht="25" customHeight="1">
      <c r="B20" s="55" t="s">
        <v>98</v>
      </c>
      <c r="C20" s="6"/>
      <c r="D20" s="6"/>
      <c r="E20" s="79"/>
    </row>
    <row r="21" spans="2:8" ht="25" customHeight="1">
      <c r="C21" s="1" t="s">
        <v>100</v>
      </c>
      <c r="E21" s="102">
        <v>15000</v>
      </c>
    </row>
    <row r="22" spans="2:8" ht="25" customHeight="1">
      <c r="C22" s="1" t="s">
        <v>101</v>
      </c>
      <c r="E22" s="102">
        <v>7500</v>
      </c>
    </row>
    <row r="23" spans="2:8" ht="25" customHeight="1">
      <c r="B23" s="2" t="s">
        <v>109</v>
      </c>
      <c r="C23" s="2"/>
      <c r="D23" s="2"/>
      <c r="E23" s="59">
        <f>SUM(E21:E22)</f>
        <v>22500</v>
      </c>
    </row>
    <row r="24" spans="2:8" ht="25" customHeight="1">
      <c r="E24" s="49"/>
    </row>
    <row r="25" spans="2:8" ht="25" customHeight="1">
      <c r="B25" s="55" t="s">
        <v>103</v>
      </c>
      <c r="C25" s="6"/>
      <c r="D25" s="6"/>
      <c r="E25" s="79"/>
    </row>
    <row r="26" spans="2:8" ht="25" customHeight="1">
      <c r="C26" s="58" t="s">
        <v>104</v>
      </c>
      <c r="D26" s="58"/>
      <c r="E26" s="103">
        <v>70000</v>
      </c>
    </row>
    <row r="27" spans="2:8" ht="25" customHeight="1">
      <c r="B27" s="2" t="s">
        <v>110</v>
      </c>
      <c r="C27" s="2"/>
      <c r="D27" s="2"/>
      <c r="E27" s="59">
        <f>E26</f>
        <v>70000</v>
      </c>
    </row>
    <row r="29" spans="2:8" ht="25" customHeight="1">
      <c r="B29" s="86" t="s">
        <v>33</v>
      </c>
      <c r="C29" s="87"/>
      <c r="D29" s="87"/>
      <c r="E29" s="90">
        <f>E27+E23+E13+E8+E18</f>
        <v>176562.5</v>
      </c>
      <c r="G29" s="72" t="s">
        <v>112</v>
      </c>
      <c r="H29" s="94">
        <f>E29/'Sourcing Plan'!G19+'Sourcing Plan'!K19+'Sourcing Plan'!O19</f>
        <v>44162.625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4AD88-9B6C-574C-A343-A9A1CFB23C07}">
  <dimension ref="B2:H35"/>
  <sheetViews>
    <sheetView workbookViewId="0">
      <selection activeCell="H15" sqref="H15"/>
    </sheetView>
  </sheetViews>
  <sheetFormatPr baseColWidth="10" defaultRowHeight="25" customHeight="1"/>
  <cols>
    <col min="1" max="1" width="10.83203125" style="1"/>
    <col min="2" max="2" width="5" style="1" customWidth="1"/>
    <col min="3" max="3" width="29.83203125" style="1" customWidth="1"/>
    <col min="4" max="4" width="60.1640625" style="1" bestFit="1" customWidth="1"/>
    <col min="5" max="6" width="37.33203125" style="1" customWidth="1"/>
    <col min="7" max="7" width="20.83203125" style="1" customWidth="1"/>
    <col min="8" max="8" width="17.33203125" style="1" customWidth="1"/>
    <col min="9" max="16384" width="10.83203125" style="1"/>
  </cols>
  <sheetData>
    <row r="2" spans="2:4" ht="25" customHeight="1">
      <c r="B2" s="13" t="s">
        <v>114</v>
      </c>
      <c r="C2" s="40"/>
    </row>
    <row r="3" spans="2:4" ht="25" customHeight="1" thickBot="1"/>
    <row r="4" spans="2:4" ht="25" customHeight="1">
      <c r="B4" s="41" t="s">
        <v>4</v>
      </c>
      <c r="C4" s="42"/>
      <c r="D4" s="43" t="s">
        <v>60</v>
      </c>
    </row>
    <row r="5" spans="2:4" ht="25" customHeight="1">
      <c r="B5" s="44" t="s">
        <v>49</v>
      </c>
      <c r="C5" s="26"/>
      <c r="D5" s="45" t="s">
        <v>115</v>
      </c>
    </row>
    <row r="6" spans="2:4" ht="25" customHeight="1">
      <c r="B6" s="44" t="s">
        <v>34</v>
      </c>
      <c r="C6" s="26"/>
      <c r="D6" s="46">
        <v>60000</v>
      </c>
    </row>
    <row r="7" spans="2:4" ht="25" customHeight="1">
      <c r="B7" s="44" t="s">
        <v>3</v>
      </c>
      <c r="C7" s="26"/>
      <c r="D7" s="47">
        <v>44197</v>
      </c>
    </row>
    <row r="8" spans="2:4" ht="25" customHeight="1" thickBot="1">
      <c r="B8" s="29" t="s">
        <v>51</v>
      </c>
      <c r="C8" s="30"/>
      <c r="D8" s="48">
        <v>44233</v>
      </c>
    </row>
    <row r="9" spans="2:4" ht="25" customHeight="1" thickBot="1"/>
    <row r="10" spans="2:4" ht="25" customHeight="1">
      <c r="B10" s="41" t="s">
        <v>61</v>
      </c>
      <c r="C10" s="51"/>
      <c r="D10" s="52">
        <v>1</v>
      </c>
    </row>
    <row r="11" spans="2:4" ht="25" customHeight="1">
      <c r="B11" s="44" t="s">
        <v>52</v>
      </c>
      <c r="C11" s="26"/>
      <c r="D11" s="53">
        <v>0.04</v>
      </c>
    </row>
    <row r="12" spans="2:4" ht="25" customHeight="1" thickBot="1">
      <c r="B12" s="29" t="s">
        <v>62</v>
      </c>
      <c r="C12" s="30"/>
      <c r="D12" s="54">
        <f>ROUNDUP(D10/D11,0)</f>
        <v>25</v>
      </c>
    </row>
    <row r="13" spans="2:4" ht="25" customHeight="1" thickBot="1">
      <c r="B13" s="61"/>
      <c r="C13" s="26"/>
      <c r="D13" s="26"/>
    </row>
    <row r="14" spans="2:4" ht="25" customHeight="1">
      <c r="B14" s="41" t="s">
        <v>78</v>
      </c>
      <c r="C14" s="51"/>
      <c r="D14" s="62">
        <f>F26+F35</f>
        <v>29</v>
      </c>
    </row>
    <row r="15" spans="2:4" ht="25" customHeight="1" thickBot="1">
      <c r="B15" s="29" t="s">
        <v>79</v>
      </c>
      <c r="C15" s="30"/>
      <c r="D15" s="63">
        <f>E26</f>
        <v>599</v>
      </c>
    </row>
    <row r="17" spans="2:8" s="39" customFormat="1" ht="25" customHeight="1">
      <c r="B17" s="55" t="s">
        <v>69</v>
      </c>
      <c r="C17" s="6"/>
      <c r="D17" s="6"/>
      <c r="E17" s="6"/>
      <c r="F17" s="6"/>
      <c r="G17" s="6"/>
      <c r="H17" s="6"/>
    </row>
    <row r="18" spans="2:8" ht="25" customHeight="1">
      <c r="B18" s="2" t="s">
        <v>0</v>
      </c>
      <c r="C18" s="2"/>
      <c r="D18" s="2" t="s">
        <v>56</v>
      </c>
      <c r="E18" s="3" t="s">
        <v>30</v>
      </c>
      <c r="F18" s="3" t="s">
        <v>53</v>
      </c>
      <c r="G18" s="3" t="s">
        <v>3</v>
      </c>
      <c r="H18" s="3" t="s">
        <v>50</v>
      </c>
    </row>
    <row r="19" spans="2:8" ht="25" customHeight="1">
      <c r="B19" s="1" t="s">
        <v>1</v>
      </c>
      <c r="E19" s="4"/>
      <c r="F19" s="4"/>
      <c r="G19" s="4"/>
      <c r="H19" s="4"/>
    </row>
    <row r="20" spans="2:8" ht="25" customHeight="1">
      <c r="C20" s="1" t="s">
        <v>57</v>
      </c>
      <c r="D20" s="1" t="s">
        <v>59</v>
      </c>
      <c r="E20" s="35">
        <v>249</v>
      </c>
      <c r="F20" s="4">
        <v>8</v>
      </c>
      <c r="G20" s="56">
        <v>44197</v>
      </c>
      <c r="H20" s="4" t="s">
        <v>66</v>
      </c>
    </row>
    <row r="21" spans="2:8" ht="25" customHeight="1">
      <c r="C21" s="1" t="s">
        <v>58</v>
      </c>
      <c r="D21" s="1" t="s">
        <v>63</v>
      </c>
      <c r="E21" s="35">
        <v>0</v>
      </c>
      <c r="F21" s="4">
        <v>8</v>
      </c>
      <c r="G21" s="56">
        <v>44197</v>
      </c>
      <c r="H21" s="4" t="s">
        <v>66</v>
      </c>
    </row>
    <row r="22" spans="2:8" ht="25" customHeight="1">
      <c r="B22" s="1" t="s">
        <v>2</v>
      </c>
      <c r="E22" s="4"/>
      <c r="F22" s="4"/>
      <c r="G22" s="4"/>
      <c r="H22" s="4"/>
    </row>
    <row r="23" spans="2:8" ht="25" customHeight="1">
      <c r="C23" s="1" t="s">
        <v>54</v>
      </c>
      <c r="D23" s="1" t="s">
        <v>67</v>
      </c>
      <c r="E23" s="35">
        <v>350</v>
      </c>
      <c r="F23" s="4">
        <v>11</v>
      </c>
      <c r="G23" s="56">
        <v>44197</v>
      </c>
      <c r="H23" s="4" t="s">
        <v>66</v>
      </c>
    </row>
    <row r="24" spans="2:8" ht="25" customHeight="1">
      <c r="C24" s="1" t="s">
        <v>55</v>
      </c>
      <c r="D24" s="1" t="s">
        <v>68</v>
      </c>
      <c r="E24" s="49"/>
    </row>
    <row r="25" spans="2:8" ht="25" customHeight="1">
      <c r="E25" s="49"/>
    </row>
    <row r="26" spans="2:8" s="2" customFormat="1" ht="25" customHeight="1">
      <c r="B26" s="86" t="s">
        <v>33</v>
      </c>
      <c r="C26" s="86"/>
      <c r="D26" s="86"/>
      <c r="E26" s="90">
        <f>SUM(E20:E24)</f>
        <v>599</v>
      </c>
      <c r="F26" s="91">
        <f>SUM(F20:F24)</f>
        <v>27</v>
      </c>
      <c r="G26" s="86"/>
      <c r="H26" s="86"/>
    </row>
    <row r="27" spans="2:8" ht="25" customHeight="1">
      <c r="B27" s="2"/>
      <c r="E27" s="49"/>
      <c r="F27" s="57"/>
    </row>
    <row r="28" spans="2:8" s="39" customFormat="1" ht="25" customHeight="1">
      <c r="B28" s="55" t="s">
        <v>70</v>
      </c>
      <c r="C28" s="6"/>
      <c r="D28" s="6"/>
      <c r="E28" s="6"/>
      <c r="F28" s="6"/>
      <c r="G28" s="6"/>
      <c r="H28" s="6"/>
    </row>
    <row r="29" spans="2:8" s="2" customFormat="1" ht="25" customHeight="1">
      <c r="B29" s="2" t="s">
        <v>72</v>
      </c>
      <c r="D29" s="60" t="s">
        <v>53</v>
      </c>
      <c r="E29" s="3" t="s">
        <v>30</v>
      </c>
      <c r="F29" s="3" t="s">
        <v>53</v>
      </c>
      <c r="G29" s="3" t="s">
        <v>3</v>
      </c>
      <c r="H29" s="3" t="s">
        <v>50</v>
      </c>
    </row>
    <row r="30" spans="2:8" ht="25" customHeight="1">
      <c r="B30" s="1" t="s">
        <v>73</v>
      </c>
      <c r="E30" s="35">
        <v>0</v>
      </c>
      <c r="F30" s="1">
        <v>2</v>
      </c>
      <c r="G30" s="56">
        <v>44197</v>
      </c>
      <c r="H30" s="4" t="s">
        <v>66</v>
      </c>
    </row>
    <row r="31" spans="2:8" ht="25" customHeight="1">
      <c r="B31" s="1" t="s">
        <v>74</v>
      </c>
      <c r="D31" s="1" t="s">
        <v>75</v>
      </c>
      <c r="E31" s="35">
        <v>0</v>
      </c>
      <c r="G31" s="56">
        <v>44197</v>
      </c>
      <c r="H31" s="4" t="s">
        <v>71</v>
      </c>
    </row>
    <row r="32" spans="2:8" ht="25" customHeight="1">
      <c r="B32" s="1" t="s">
        <v>76</v>
      </c>
      <c r="E32" s="35">
        <v>0</v>
      </c>
      <c r="G32" s="56">
        <v>44197</v>
      </c>
      <c r="H32" s="4" t="s">
        <v>71</v>
      </c>
    </row>
    <row r="33" spans="2:8" ht="25" customHeight="1">
      <c r="B33" s="1" t="s">
        <v>77</v>
      </c>
      <c r="E33" s="35">
        <v>0</v>
      </c>
      <c r="G33" s="56">
        <v>44197</v>
      </c>
      <c r="H33" s="4" t="s">
        <v>66</v>
      </c>
    </row>
    <row r="34" spans="2:8" ht="25" customHeight="1">
      <c r="E34" s="35"/>
      <c r="G34" s="4"/>
      <c r="H34" s="4"/>
    </row>
    <row r="35" spans="2:8" ht="25" customHeight="1">
      <c r="B35" s="86" t="s">
        <v>33</v>
      </c>
      <c r="C35" s="86"/>
      <c r="D35" s="86"/>
      <c r="E35" s="90">
        <f>SUM(E29:E33)</f>
        <v>0</v>
      </c>
      <c r="F35" s="91">
        <f>SUM(F30:F34)</f>
        <v>2</v>
      </c>
      <c r="G35" s="88"/>
      <c r="H35" s="8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Objectives</vt:lpstr>
      <vt:lpstr>Skill Gaps</vt:lpstr>
      <vt:lpstr>Headcount Planning</vt:lpstr>
      <vt:lpstr>Sourcing Plan</vt:lpstr>
      <vt:lpstr>Summary Bugdet</vt:lpstr>
      <vt:lpstr>Vacancy-Specific Marketing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2020-07-27T10:55:12Z</dcterms:created>
  <dcterms:modified xsi:type="dcterms:W3CDTF">2020-07-31T11:36:45Z</dcterms:modified>
</cp:coreProperties>
</file>